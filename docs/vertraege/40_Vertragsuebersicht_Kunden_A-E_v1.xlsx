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Kennzahlen" sheetId="2" state="visible" r:id="rId4"/>
    <sheet name="Agent-Konfiguration" sheetId="3" state="visible" r:id="rId5"/>
    <sheet name="Hinwei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<sst xmlns="http://schemas.openxmlformats.org/spreadsheetml/2006/main" count="255" uniqueCount="207">
  <si>
    <t xml:space="preserve">Kunde</t>
  </si>
  <si>
    <t xml:space="preserve">Firma (fiktiv)</t>
  </si>
  <si>
    <t xml:space="preserve">Ort</t>
  </si>
  <si>
    <t xml:space="preserve">Größe</t>
  </si>
  <si>
    <t xml:space="preserve">Software</t>
  </si>
  <si>
    <t xml:space="preserve">Vertragsart</t>
  </si>
  <si>
    <t xml:space="preserve">Vertragsdatei</t>
  </si>
  <si>
    <t xml:space="preserve">Vertragsbeginn / Laufzeit</t>
  </si>
  <si>
    <t xml:space="preserve">Kündigung / Verlängerung</t>
  </si>
  <si>
    <t xml:space="preserve">Kernpreis</t>
  </si>
  <si>
    <t xml:space="preserve">Wichtigste Leistungen und Besonderheiten</t>
  </si>
  <si>
    <t xml:space="preserve">A (klein)</t>
  </si>
  <si>
    <t xml:space="preserve">Allgäuer Sondermaschinenbau GmbH</t>
  </si>
  <si>
    <t xml:space="preserve">Kempten</t>
  </si>
  <si>
    <t xml:space="preserve">ca. 45 Mitarbeiter</t>
  </si>
  <si>
    <t xml:space="preserve">Werkstatt-Assistent (Chatbot mit Dokumentensuche, ca. 30 Nutzer, ca. 500 Dokumente)</t>
  </si>
  <si>
    <t xml:space="preserve">Softwarepflegevertrag (Cloud)</t>
  </si>
  <si>
    <t xml:space="preserve">01_Softwarepflegevertrag_Kunde_A_v4.docx</t>
  </si>
  <si>
    <t xml:space="preserve">ab Unterschrift (02.11.2026), 24 Monate</t>
  </si>
  <si>
    <t xml:space="preserve">3 Monate zum Laufzeitende; Verlängerung um 12 Monate</t>
  </si>
  <si>
    <t xml:space="preserve">3.200 EUR/Monat, erste Rate 1.600 EUR</t>
  </si>
  <si>
    <t xml:space="preserve">Servicezeiten Mo–Do 9:30–17:00. Reaktion 24 Std., Behebung spätestens 5 Werktage. Neue Dokumente einlesen (Kat. A): bis 100 Seiten/Monat inklusive. Erstbestand als gesonderter Einrichtungsauftrag. Chatverläufe werden nicht gespeichert.</t>
  </si>
  <si>
    <t xml:space="preserve">B (groß)</t>
  </si>
  <si>
    <t xml:space="preserve">Rheintal Antriebstechnik AG</t>
  </si>
  <si>
    <t xml:space="preserve">Mannheim</t>
  </si>
  <si>
    <t xml:space="preserve">ca. 1.000 Mitarbeiter, weltweiter Vertrieb</t>
  </si>
  <si>
    <t xml:space="preserve">Service-Assistent Global (mehrsprachig, SSO, Ticketsystem und Ersatzteildatenbank, ca. 600 Nutzer, ca. 5.000 Dokumente)</t>
  </si>
  <si>
    <t xml:space="preserve">04_Softwarepflegevertrag_Kunde_B_v1.docx</t>
  </si>
  <si>
    <t xml:space="preserve">ab Unterschrift (02.11.2026), 36 Monate</t>
  </si>
  <si>
    <t xml:space="preserve">6 Monate zum Laufzeitende; Verlängerung um 12 Monate</t>
  </si>
  <si>
    <t xml:space="preserve">8.000 EUR/Monat, erste Rate 4.000 EUR</t>
  </si>
  <si>
    <t xml:space="preserve">Servicezeiten Mo–Fr 7:00–19:00 MEZ. Reaktion 4 Std., Behebung spätestens 2 Werktage. Neue Dokumente: bis 1.000 Seiten/Monat inklusive. Chatverläufe 90 Tage gespeichert. Update-Ankündigung 10 Werktage, alte Versionen 12 Monate.</t>
  </si>
  <si>
    <t xml:space="preserve">C (klein)</t>
  </si>
  <si>
    <t xml:space="preserve">Taktil Sensorik GmbH</t>
  </si>
  <si>
    <t xml:space="preserve">Jena</t>
  </si>
  <si>
    <t xml:space="preserve">ca. 60 Mitarbeiter, Spezialsensoren für Robotik</t>
  </si>
  <si>
    <t xml:space="preserve">CalibTrack (Prüfdaten, Kalibrierzertifikate, Kundenportal; ca. 25 interne Nutzer, ca. 40 Kundenkonten)</t>
  </si>
  <si>
    <t xml:space="preserve">Wartungsvertrag Plus (Cloud)</t>
  </si>
  <si>
    <t xml:space="preserve">06_Wartungsvertrag_Plus_Kunde_C_v1.docx</t>
  </si>
  <si>
    <t xml:space="preserve">ab 01.12.2026, 12 Monate</t>
  </si>
  <si>
    <t xml:space="preserve">1.500 EUR/Monat inkl. 60 Std. Kontingent</t>
  </si>
  <si>
    <t xml:space="preserve">Servicezeiten Mo–Do 9:30–17:00. Fehlerklassen 1 bis 3 (Reaktion 2 Std. bis 2 Arbeitstage). Zusatzpaket 20 Std. für 1.800 EUR. Anlage 4: Kurzfassung Auftragsverarbeitung.</t>
  </si>
  <si>
    <t xml:space="preserve">D (groß)</t>
  </si>
  <si>
    <t xml:space="preserve">Argus Bildverarbeitung AG</t>
  </si>
  <si>
    <t xml:space="preserve">Karlsruhe</t>
  </si>
  <si>
    <t xml:space="preserve">ca. 450 Mitarbeiter, Kamerasysteme für Objekt- und Fehlererkennung</t>
  </si>
  <si>
    <t xml:space="preserve">VisionQC Cloud (Bilddaten, KI-Modelle, Dashboard; ca. 1.200 Kamerasysteme, ca. 150 interne Nutzer, ca. 300 Endkundenkonten)</t>
  </si>
  <si>
    <t xml:space="preserve">08_Wartungsvertrag_Plus_Kunde_D_v1.docx</t>
  </si>
  <si>
    <t xml:space="preserve">ab 01.01.2027, 36 Monate</t>
  </si>
  <si>
    <t xml:space="preserve">9.500 EUR/Monat inkl. 200 Std. Kontingent</t>
  </si>
  <si>
    <t xml:space="preserve">Servicezeiten Mo–Fr 7:00–19:00 MEZ. Fehlerklasse 1: Reaktion 1 Std., Behebung 4 Std. Zusatzpaket 50 Std. für 4.500 EUR. Nicht enthalten: Hardware und Firmware, Neutrainieren der Modelle (Kat. C). Bilddaten ggf. personenbezogen (Anlage 4).</t>
  </si>
  <si>
    <t xml:space="preserve">E (klein)</t>
  </si>
  <si>
    <t xml:space="preserve">Klarsicht Datenschutzberatung GmbH</t>
  </si>
  <si>
    <t xml:space="preserve">Kiel</t>
  </si>
  <si>
    <t xml:space="preserve">5 Mitarbeiter, wachsend</t>
  </si>
  <si>
    <t xml:space="preserve">ERP für die Datenschutzberatung und Chatbot (DSGVO und EU AI Act), Verbindung beider Systeme</t>
  </si>
  <si>
    <t xml:space="preserve">Softwareerstellungsvertrag (Cloud)</t>
  </si>
  <si>
    <t xml:space="preserve">10_Softwareerstellungsvertrag_Kunde_E_v1.docx</t>
  </si>
  <si>
    <t xml:space="preserve">Fertigstellung bis 30.07.2027, Gesamtabnahme bis 03.09.2027</t>
  </si>
  <si>
    <t xml:space="preserve">entfällt (Hosting und Betrieb später in einem Pflegevertrag)</t>
  </si>
  <si>
    <t xml:space="preserve">63.000 EUR netto einmalig, in 4 Bausteinen</t>
  </si>
  <si>
    <t xml:space="preserve">Bausteine: 1 Konzept (6.000), 2 ERP-Kern (24.000), 3 Chatbot (21.000), 4 Integration (12.000). Je Baustein 4 Wochen Testphase und Teilabnahme. Änderungspuffer 3.000 EUR. Quellcode geht mit der Abnahme an den Kunden. Gewährleistung 1 Jahr.</t>
  </si>
  <si>
    <t xml:space="preserve">Kennzahl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</si>
  <si>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</si>
  <si>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</si>
  <si>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</si>
  <si>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</si>
  <si>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</si>
  <si>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Quelle / Hinweis</t>
  </si>
  <si>
    <t xml:space="preserve">Pflege</t>
  </si>
  <si>
    <t xml:space="preserve">Wartung Plus</t>
  </si>
  <si>
    <t xml:space="preserve">Erstellung</t>
  </si>
  <si>
    <t xml:space="preserve">Dateien siehe Übersicht</t>
  </si>
  <si>
    <t xml:space="preserve">Pauschale je Monat (EUR netto)</t>
  </si>
  <si>
    <t xml:space="preserve">Pflege Ziffer 7.1; Wartung § 6 Abs. 1</t>
  </si>
  <si>
    <t xml:space="preserve">Laufzeit (Monate, Anfang)</t>
  </si>
  <si>
    <t xml:space="preserve">Pflege Ziffer 13.2; Wartung § 8 Abs. 1</t>
  </si>
  <si>
    <t xml:space="preserve">Kündigungsfrist (Monate)</t>
  </si>
  <si>
    <t xml:space="preserve">zum Laufzeitende</t>
  </si>
  <si>
    <t xml:space="preserve">Vertragsvolumen über die Anfangslaufzeit (EUR netto)</t>
  </si>
  <si>
    <t xml:space="preserve">Formel: Pauschale × Laufzeit; Kunde E: Festpreis</t>
  </si>
  <si>
    <t xml:space="preserve">Jahresvolumen (EUR netto)</t>
  </si>
  <si>
    <t xml:space="preserve">Formel: Pauschale × 12</t>
  </si>
  <si>
    <t xml:space="preserve">Stundenkontingent je Vertragsjahr (Std.)</t>
  </si>
  <si>
    <t xml:space="preserve">Nur Wartung Plus, Kategorie A und B</t>
  </si>
  <si>
    <t xml:space="preserve">Wert des Kontingents zum Satz Entwickler (EUR)</t>
  </si>
  <si>
    <t xml:space="preserve">Formel: Kontingent × Stundensatz Entwickler</t>
  </si>
  <si>
    <t xml:space="preserve">Zusatzstundenpaket (Std.)</t>
  </si>
  <si>
    <t xml:space="preserve">Anlage 1 Wartung</t>
  </si>
  <si>
    <t xml:space="preserve">Zusatzstundenpaket (EUR netto)</t>
  </si>
  <si>
    <t xml:space="preserve">90 EUR je Stunde</t>
  </si>
  <si>
    <t xml:space="preserve">Stundensatz Entwickler (EUR)</t>
  </si>
  <si>
    <t xml:space="preserve">alle Verträge gleich</t>
  </si>
  <si>
    <t xml:space="preserve">Stundensatz Senior/Architekt (EUR)</t>
  </si>
  <si>
    <t xml:space="preserve">Kategorie A: höchstens (EUR je Änderung)</t>
  </si>
  <si>
    <t xml:space="preserve">Systemfreigabe möglich bis zu dieser Grenze</t>
  </si>
  <si>
    <t xml:space="preserve">Freigabe durch den Kunden vorab ab (EUR)</t>
  </si>
  <si>
    <t xml:space="preserve">Kategorie A über dieser Schätzung nur mit Freigabe in Textform</t>
  </si>
  <si>
    <t xml:space="preserve">Änderungspuffer ohne Zusatzentgelt (EUR)</t>
  </si>
  <si>
    <t xml:space="preserve">Nur Erstellungsvertrag, Kategorie A</t>
  </si>
  <si>
    <t xml:space="preserve">Neue Dokumente inklusive (Seiten je Monat)</t>
  </si>
  <si>
    <t xml:space="preserve">Nur Pflegeverträge, darüber nach Aufwand</t>
  </si>
  <si>
    <t xml:space="preserve">Reaktionszeit</t>
  </si>
  <si>
    <t xml:space="preserve">24 Std.</t>
  </si>
  <si>
    <t xml:space="preserve">4 Std.</t>
  </si>
  <si>
    <t xml:space="preserve">Klasse 1: 2 Std.; 2: 4 Std.; 3: 2 Arbeitstage</t>
  </si>
  <si>
    <t xml:space="preserve">Klasse 1: 1 Std.; 2: 2 Std.; 3: 1 Arbeitstag</t>
  </si>
  <si>
    <t xml:space="preserve">Fristen laufen nur innerhalb der Servicezeiten</t>
  </si>
  <si>
    <t xml:space="preserve">Behebung</t>
  </si>
  <si>
    <t xml:space="preserve">spätestens 5 Werktage</t>
  </si>
  <si>
    <t xml:space="preserve">spätestens 2 Werktage</t>
  </si>
  <si>
    <t xml:space="preserve">Klasse 1: 8 Std.; 2: 3 Arbeitstage; 3: spätestens 6 Wochen</t>
  </si>
  <si>
    <t xml:space="preserve">Klasse 1: 4 Std.; 2: 1 Arbeitstag; 3: spätestens 4 Wochen</t>
  </si>
  <si>
    <t xml:space="preserve">Pflege Ziffer 2.2; Wartung Anlage 2</t>
  </si>
  <si>
    <t xml:space="preserve">Servicezeiten</t>
  </si>
  <si>
    <t xml:space="preserve">Mo–Do 9:30–17:00</t>
  </si>
  <si>
    <t xml:space="preserve">Mo–Fr 7:00–19:00 MEZ</t>
  </si>
  <si>
    <t xml:space="preserve">Pflege Ziffer 4.2; Wartung Anlage 2</t>
  </si>
  <si>
    <t xml:space="preserve">Zahlungsziel (Tage)</t>
  </si>
  <si>
    <t xml:space="preserve">Pflege: Zahlung am letzten Werktag des Vormonats</t>
  </si>
  <si>
    <t xml:space="preserve">Preisanhebung höchstens (% in 12 Monaten)</t>
  </si>
  <si>
    <t xml:space="preserve">Prozentwert als Anteil gespeichert</t>
  </si>
  <si>
    <t xml:space="preserve">Haftungshöchstbetrag leichte Fahrlässigkeit (EUR)</t>
  </si>
  <si>
    <t xml:space="preserve">Pflegeverträge: gesetzliche Regelung nach Ziffer 12</t>
  </si>
  <si>
    <t xml:space="preserve">Parameter</t>
  </si>
  <si>
    <t xml:space="preserve">Bedeutung für das System</t>
  </si>
  <si>
    <t xml:space="preserve">kunde_id</t>
  </si>
  <si>
    <t xml:space="preserve">Schlüssel je Kunde</t>
  </si>
  <si>
    <t xml:space="preserve">vertragsart</t>
  </si>
  <si>
    <t xml:space="preserve">pflege</t>
  </si>
  <si>
    <t xml:space="preserve">wartung_plus</t>
  </si>
  <si>
    <t xml:space="preserve">erstellung</t>
  </si>
  <si>
    <t xml:space="preserve">bestimmt die Abrechnungslogik</t>
  </si>
  <si>
    <t xml:space="preserve">kat_a_max_eur</t>
  </si>
  <si>
    <t xml:space="preserve">bis hier Kategorie A, wenn keine Architektur-, Daten-, Schnittstellen-, Sicherheits- oder Datenschutzwirkung</t>
  </si>
  <si>
    <t xml:space="preserve">freigabe_kunde_ab_eur</t>
  </si>
  <si>
    <t xml:space="preserve">darüber vor Umsetzung Freigabe des Kunden in Textform holen</t>
  </si>
  <si>
    <t xml:space="preserve">abrechnung_kat_a</t>
  </si>
  <si>
    <t xml:space="preserve">nach_aufwand</t>
  </si>
  <si>
    <t xml:space="preserve">kontingent</t>
  </si>
  <si>
    <t xml:space="preserve">puffer_dann_aufwand</t>
  </si>
  <si>
    <t xml:space="preserve">wohin der Aufwand gebucht wird</t>
  </si>
  <si>
    <t xml:space="preserve">kontingent_std</t>
  </si>
  <si>
    <t xml:space="preserve">Stunden je Vertragsjahr, verfallen am Jahresende</t>
  </si>
  <si>
    <t xml:space="preserve">puffer_eur</t>
  </si>
  <si>
    <t xml:space="preserve">Änderungspuffer insgesamt, danach Stundensatz</t>
  </si>
  <si>
    <t xml:space="preserve">kat_b_ablauf</t>
  </si>
  <si>
    <t xml:space="preserve">Aufwandsschätzung, Umsetzung nach Bestätigung</t>
  </si>
  <si>
    <t xml:space="preserve">Schätzung, Bestätigung, Buchung aufs Kontingent soweit es reicht</t>
  </si>
  <si>
    <t xml:space="preserve">Schätzung mit Termin- und Preisfolge, Nachtrag in Textform</t>
  </si>
  <si>
    <t xml:space="preserve">kat_c_ablauf</t>
  </si>
  <si>
    <t xml:space="preserve">Einzelangebot</t>
  </si>
  <si>
    <t xml:space="preserve">Einzelangebot, nicht aufs Kontingent</t>
  </si>
  <si>
    <t xml:space="preserve">Einzelangebot, Fertigstellungstermin entfällt und wird neu vereinbart</t>
  </si>
  <si>
    <t xml:space="preserve">kat_e_erforderlich</t>
  </si>
  <si>
    <t xml:space="preserve">nein</t>
  </si>
  <si>
    <t xml:space="preserve">ja, ohne Zusatzentgelt, entscheidet ein Mitarbeiter</t>
  </si>
  <si>
    <t xml:space="preserve">nur im Erstellungsvertrag</t>
  </si>
  <si>
    <t xml:space="preserve">mensch_pruefung_pflicht</t>
  </si>
  <si>
    <t xml:space="preserve">B, C, unsicher, Sicherheit, personenbezogene Daten</t>
  </si>
  <si>
    <t xml:space="preserve">B, C, E, unsicher, Sicherheit, personenbezogene Daten</t>
  </si>
  <si>
    <t xml:space="preserve">das System gibt keine Angebote, Preise oder Rechnungen frei</t>
  </si>
  <si>
    <t xml:space="preserve">ueberpruefungsrecht_arbeitstage</t>
  </si>
  <si>
    <t xml:space="preserve">Kunde kann Einordnung innerhalb dieser Frist überprüfen lassen; bis dahin ruht die Umsetzung</t>
  </si>
  <si>
    <t xml:space="preserve">protokoll_aufbewahrung_monate</t>
  </si>
  <si>
    <t xml:space="preserve">Dauer des Vertrags plus 12 Monate; Protokoll mit Eingang, Einordnung, Begründung, Sicherheitswert, Mitarbeiter, Freigabe</t>
  </si>
  <si>
    <t xml:space="preserve">fehleinordnung_berechnen</t>
  </si>
  <si>
    <t xml:space="preserve">nein, Kontingentstunden gutschreiben</t>
  </si>
  <si>
    <t xml:space="preserve">kanal_aenderungswuensche</t>
  </si>
  <si>
    <t xml:space="preserve">Ticketsystem oder support@nordlicht-ki.example</t>
  </si>
  <si>
    <t xml:space="preserve">Ticketsystem oder projekt@nordlicht-ki.example</t>
  </si>
  <si>
    <t xml:space="preserve">ansprechpartner_kunde</t>
  </si>
  <si>
    <t xml:space="preserve">Stefan Berger (Leiter Service); Vertretung Andreas Vogel</t>
  </si>
  <si>
    <t xml:space="preserve">Dr. Katrin Lenz (Leiterin IT-Servicemanagement); Vertretung Marco Weiß</t>
  </si>
  <si>
    <t xml:space="preserve">Dr. Julia Brandner (Geschäftsführerin)</t>
  </si>
  <si>
    <t xml:space="preserve">Dr. Felix Hartmann (Vorstand)</t>
  </si>
  <si>
    <t xml:space="preserve">Nina Feldmann (Geschäftsführerin)</t>
  </si>
  <si>
    <t xml:space="preserve">erfundene Namen</t>
  </si>
  <si>
    <t xml:space="preserve">ansprechpartner_anbieter</t>
  </si>
  <si>
    <t xml:space="preserve">Sabine Roth (Projektleiterin); Vertretung Tobias Nagel</t>
  </si>
  <si>
    <t xml:space="preserve">Sabine Roth; Vertretung Tobias Nagel</t>
  </si>
  <si>
    <t xml:space="preserve">Markus Hellwig (Geschäftsführer)</t>
  </si>
  <si>
    <t xml:space="preserve">chatverlauf_speicherung</t>
  </si>
  <si>
    <t xml:space="preserve">keine</t>
  </si>
  <si>
    <t xml:space="preserve">90 Tage, dann löschen</t>
  </si>
  <si>
    <t xml:space="preserve">–</t>
  </si>
  <si>
    <t xml:space="preserve">30 Tage, dann löschen</t>
  </si>
  <si>
    <t xml:space="preserve">gilt für die Chatbots der Kunden A, B und E</t>
  </si>
  <si>
    <t xml:space="preserve">datenschutz_av</t>
  </si>
  <si>
    <t xml:space="preserve">AV-Vertrag nötig (Art. 28 DSGVO)</t>
  </si>
  <si>
    <t xml:space="preserve">AV-Vertrag nötig</t>
  </si>
  <si>
    <t xml:space="preserve">Anlage 4 (Kurzfassung)</t>
  </si>
  <si>
    <t xml:space="preserve">bei personenbezogenen Daten vorab</t>
  </si>
  <si>
    <t xml:space="preserve">KI-Dienstleister dürfen Eingaben nicht zum Training allgemeiner Modelle nutzen</t>
  </si>
  <si>
    <t xml:space="preserve">dienstleister</t>
  </si>
  <si>
    <t xml:space="preserve">Nordwind Cloud GmbH (Hosting, Frankfurt); Aurora AI Services S.A. (KI, Irland)</t>
  </si>
  <si>
    <t xml:space="preserve">wie A</t>
  </si>
  <si>
    <t xml:space="preserve">alle fiktiv, AV-Datum 01.11.2026</t>
  </si>
  <si>
    <t xml:space="preserve">Alle Firmen, Namen, Adressen und Zahlen sind erfunden (Abschlussprojekt). Die Verträge sind Entwürfe, keine geprüften Rechtsdokumente.</t>
  </si>
  <si>
    <t xml:space="preserve">Anbieter: Nordlicht KI-Werkstatt GmbH, Kasala Straße 42, 66654 Niederusedom, Geschäftsführer Markus Hellwig.</t>
  </si>
  <si>
    <t xml:space="preserve">Interne Entscheidungswege laut Organigramm: Projektleiterin Sabine Roth nimmt Anfragen an und bereitet vor; Vertrieb entscheidet bei Zusatzgeld bis 1.500 EUR; Geschäftsführer gibt höhere Beträge frei; Senior-Entwicklung prüft Fehler und schätzt den Aufwand; Verwaltung rechnet ab und pflegt Kontingente.</t>
  </si>
  <si>
    <t xml:space="preserve">Zwei Schwellen nicht verwechseln: Die Grenze Kategorie A und die Freigabe durch den Kunden stehen im Vertrag. Die 1.500 EUR des Vertriebs sind eine interne Regel.</t>
  </si>
  <si>
    <t xml:space="preserve">Kunde E: Die 63.000 EUR sind als Nettobetrag angenommen (brutto 74.970 EUR bei 19 %).</t>
  </si>
  <si>
    <t xml:space="preserve">Kunde E: Bausteine und Termine: 1 Konzept 6.000 EUR (bis 04.12.2026, Unterschrift bis 18.12.2026); 2 ERP-Kern 24.000 EUR (bis 26.03.2027, Abnahme bis 30.04.2027); 3 Chatbot 21.000 EUR (bis 28.05.2027, Abnahme bis 02.07.2027); 4 Integration 12.000 EUR (bis 30.07.2027, Gesamtabnahme bis 03.09.2027).</t>
  </si>
  <si>
    <t xml:space="preserve">Gemeinsame Regeln aller Verträge: KI ordnet Änderungswünsche zuerst ein (A, B, C; bei Erstellung zusätzlich E). Das System erklärt nichts rechtsverbindlich, nimmt keine Aufträge an und stellt keine Rechnungen.</t>
  </si>
  <si>
    <t xml:space="preserve">Stundensatz Entwickler 95 EUR, Senior/Architekt 190 EUR in allen Verträgen. Blaue Zahlen sind Eingaben, schwarze Zahlen sind Formeln.</t>
  </si>
  <si>
    <t xml:space="preserve">Offen: Pflegeverträge A und B nennen keinen Haftungshöchstbetrag (gesetzliche Regelung nach Ziffer 12). Für Kunde C und D stehen die Fehlerklassen und Zeiten in Anlage 2 der Verträge.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</si>
</sst>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26"/>
    <col collapsed="false" customWidth="true" hidden="false" outlineLevel="0" max="10" min="10" style="0" width="22"/>
    <col collapsed="false" customWidth="true" hidden="false" outlineLevel="0" max="11" min="11" style="0" width="7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6.2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customFormat="false" ht="35.0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16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</row>
    <row r="4" customFormat="false" ht="35.05" hidden="false" customHeight="false" outlineLevel="0" collapsed="false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19</v>
      </c>
      <c r="J4" s="2" t="s">
        <v>40</v>
      </c>
      <c r="K4" s="2" t="s">
        <v>41</v>
      </c>
    </row>
    <row r="5" customFormat="false" ht="46.25" hidden="false" customHeight="false" outlineLevel="0" collapsed="false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37</v>
      </c>
      <c r="G5" s="2" t="s">
        <v>47</v>
      </c>
      <c r="H5" s="2" t="s">
        <v>48</v>
      </c>
      <c r="I5" s="2" t="s">
        <v>29</v>
      </c>
      <c r="J5" s="2" t="s">
        <v>49</v>
      </c>
      <c r="K5" s="2" t="s">
        <v>50</v>
      </c>
    </row>
    <row r="6" customFormat="false" ht="46.25" hidden="false" customHeight="false" outlineLevel="0" collapsed="false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2"/>
    <col collapsed="false" customWidth="true" hidden="false" outlineLevel="0" max="5" min="4" style="0" width="30"/>
    <col collapsed="false" customWidth="true" hidden="false" outlineLevel="0" max="6" min="6" style="0" width="18"/>
    <col collapsed="false" customWidth="true" hidden="false" outlineLevel="0" max="7" min="7" style="0" width="52"/>
  </cols>
  <sheetData>
    <row r="1" customFormat="false" ht="21.75" hidden="false" customHeight="true" outlineLevel="0" collapsed="false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customFormat="false" ht="15" hidden="false" customHeight="false" outlineLevel="0" collapsed="false">
      <c r="A2" s="2" t="s">
        <v>5</v>
      </c>
      <c r="B2" s="3" t="s">
        <v>69</v>
      </c>
      <c r="C2" s="3" t="s">
        <v>69</v>
      </c>
      <c r="D2" s="3" t="s">
        <v>70</v>
      </c>
      <c r="E2" s="3" t="s">
        <v>70</v>
      </c>
      <c r="F2" s="3" t="s">
        <v>71</v>
      </c>
      <c r="G2" s="2" t="s">
        <v>72</v>
      </c>
    </row>
    <row r="3" customFormat="false" ht="15" hidden="false" customHeight="false" outlineLevel="0" collapsed="false">
      <c r="A3" s="2" t="s">
        <v>73</v>
      </c>
      <c r="B3" s="4" t="n">
        <v>3200</v>
      </c>
      <c r="C3" s="4" t="n">
        <v>8000</v>
      </c>
      <c r="D3" s="4" t="n">
        <v>1500</v>
      </c>
      <c r="E3" s="4" t="n">
        <v>9500</v>
      </c>
      <c r="F3" s="3"/>
      <c r="G3" s="2" t="s">
        <v>74</v>
      </c>
    </row>
    <row r="4" customFormat="false" ht="15" hidden="false" customHeight="false" outlineLevel="0" collapsed="false">
      <c r="A4" s="2" t="s">
        <v>75</v>
      </c>
      <c r="B4" s="4" t="n">
        <v>24</v>
      </c>
      <c r="C4" s="4" t="n">
        <v>36</v>
      </c>
      <c r="D4" s="4" t="n">
        <v>12</v>
      </c>
      <c r="E4" s="4" t="n">
        <v>36</v>
      </c>
      <c r="F4" s="3"/>
      <c r="G4" s="2" t="s">
        <v>76</v>
      </c>
    </row>
    <row r="5" customFormat="false" ht="15" hidden="false" customHeight="false" outlineLevel="0" collapsed="false">
      <c r="A5" s="2" t="s">
        <v>77</v>
      </c>
      <c r="B5" s="4" t="n">
        <v>3</v>
      </c>
      <c r="C5" s="4" t="n">
        <v>6</v>
      </c>
      <c r="D5" s="4" t="n">
        <v>3</v>
      </c>
      <c r="E5" s="4" t="n">
        <v>6</v>
      </c>
      <c r="F5" s="3"/>
      <c r="G5" s="2" t="s">
        <v>78</v>
      </c>
    </row>
    <row r="6" customFormat="false" ht="15" hidden="false" customHeight="false" outlineLevel="0" collapsed="false">
      <c r="A6" s="2" t="s">
        <v>79</v>
      </c>
      <c r="B6" s="5" t="n">
        <f aca="false">B3*B4</f>
        <v>76800</v>
      </c>
      <c r="C6" s="5" t="n">
        <f aca="false">C3*C4</f>
        <v>288000</v>
      </c>
      <c r="D6" s="5" t="n">
        <f aca="false">D3*D4</f>
        <v>18000</v>
      </c>
      <c r="E6" s="5" t="n">
        <f aca="false">E3*E4</f>
        <v>342000</v>
      </c>
      <c r="F6" s="4" t="n">
        <v>63000</v>
      </c>
      <c r="G6" s="2" t="s">
        <v>80</v>
      </c>
    </row>
    <row r="7" customFormat="false" ht="15" hidden="false" customHeight="false" outlineLevel="0" collapsed="false">
      <c r="A7" s="2" t="s">
        <v>81</v>
      </c>
      <c r="B7" s="5" t="n">
        <f aca="false">B3*12</f>
        <v>38400</v>
      </c>
      <c r="C7" s="5" t="n">
        <f aca="false">C3*12</f>
        <v>96000</v>
      </c>
      <c r="D7" s="5" t="n">
        <f aca="false">D3*12</f>
        <v>18000</v>
      </c>
      <c r="E7" s="5" t="n">
        <f aca="false">E3*12</f>
        <v>114000</v>
      </c>
      <c r="F7" s="3"/>
      <c r="G7" s="2" t="s">
        <v>82</v>
      </c>
    </row>
    <row r="8" customFormat="false" ht="15" hidden="false" customHeight="false" outlineLevel="0" collapsed="false">
      <c r="A8" s="2" t="s">
        <v>83</v>
      </c>
      <c r="B8" s="3"/>
      <c r="C8" s="3"/>
      <c r="D8" s="4" t="n">
        <v>60</v>
      </c>
      <c r="E8" s="4" t="n">
        <v>200</v>
      </c>
      <c r="F8" s="3"/>
      <c r="G8" s="2" t="s">
        <v>84</v>
      </c>
    </row>
    <row r="9" customFormat="false" ht="15" hidden="false" customHeight="false" outlineLevel="0" collapsed="false">
      <c r="A9" s="2" t="s">
        <v>85</v>
      </c>
      <c r="B9" s="3"/>
      <c r="C9" s="3"/>
      <c r="D9" s="5" t="n">
        <f aca="false">D8*D12</f>
        <v>5700</v>
      </c>
      <c r="E9" s="5" t="n">
        <f aca="false">E8*E12</f>
        <v>19000</v>
      </c>
      <c r="F9" s="3"/>
      <c r="G9" s="2" t="s">
        <v>86</v>
      </c>
    </row>
    <row r="10" customFormat="false" ht="15" hidden="false" customHeight="false" outlineLevel="0" collapsed="false">
      <c r="A10" s="2" t="s">
        <v>87</v>
      </c>
      <c r="B10" s="3"/>
      <c r="C10" s="3"/>
      <c r="D10" s="4" t="n">
        <v>20</v>
      </c>
      <c r="E10" s="4" t="n">
        <v>50</v>
      </c>
      <c r="F10" s="3"/>
      <c r="G10" s="2" t="s">
        <v>88</v>
      </c>
    </row>
    <row r="11" customFormat="false" ht="15" hidden="false" customHeight="false" outlineLevel="0" collapsed="false">
      <c r="A11" s="2" t="s">
        <v>89</v>
      </c>
      <c r="B11" s="3"/>
      <c r="C11" s="3"/>
      <c r="D11" s="4" t="n">
        <v>1800</v>
      </c>
      <c r="E11" s="4" t="n">
        <v>4500</v>
      </c>
      <c r="F11" s="3"/>
      <c r="G11" s="2" t="s">
        <v>90</v>
      </c>
    </row>
    <row r="12" customFormat="false" ht="15" hidden="false" customHeight="false" outlineLevel="0" collapsed="false">
      <c r="A12" s="2" t="s">
        <v>91</v>
      </c>
      <c r="B12" s="4" t="n">
        <v>95</v>
      </c>
      <c r="C12" s="4" t="n">
        <v>95</v>
      </c>
      <c r="D12" s="4" t="n">
        <v>95</v>
      </c>
      <c r="E12" s="4" t="n">
        <v>95</v>
      </c>
      <c r="F12" s="4" t="n">
        <v>95</v>
      </c>
      <c r="G12" s="2" t="s">
        <v>92</v>
      </c>
    </row>
    <row r="13" customFormat="false" ht="15" hidden="false" customHeight="false" outlineLevel="0" collapsed="false">
      <c r="A13" s="2" t="s">
        <v>93</v>
      </c>
      <c r="B13" s="4" t="n">
        <v>190</v>
      </c>
      <c r="C13" s="4" t="n">
        <v>190</v>
      </c>
      <c r="D13" s="4" t="n">
        <v>190</v>
      </c>
      <c r="E13" s="4" t="n">
        <v>190</v>
      </c>
      <c r="F13" s="4" t="n">
        <v>190</v>
      </c>
      <c r="G13" s="2" t="s">
        <v>92</v>
      </c>
    </row>
    <row r="14" customFormat="false" ht="15" hidden="false" customHeight="false" outlineLevel="0" collapsed="false">
      <c r="A14" s="2" t="s">
        <v>94</v>
      </c>
      <c r="B14" s="4" t="n">
        <v>1000</v>
      </c>
      <c r="C14" s="4" t="n">
        <v>2500</v>
      </c>
      <c r="D14" s="4" t="n">
        <v>1000</v>
      </c>
      <c r="E14" s="4" t="n">
        <v>2500</v>
      </c>
      <c r="F14" s="4" t="n">
        <v>1000</v>
      </c>
      <c r="G14" s="2" t="s">
        <v>95</v>
      </c>
    </row>
    <row r="15" customFormat="false" ht="15" hidden="false" customHeight="false" outlineLevel="0" collapsed="false">
      <c r="A15" s="2" t="s">
        <v>96</v>
      </c>
      <c r="B15" s="4" t="n">
        <v>500</v>
      </c>
      <c r="C15" s="4" t="n">
        <v>1500</v>
      </c>
      <c r="D15" s="4" t="n">
        <v>500</v>
      </c>
      <c r="E15" s="4" t="n">
        <v>1500</v>
      </c>
      <c r="F15" s="4" t="n">
        <v>500</v>
      </c>
      <c r="G15" s="2" t="s">
        <v>97</v>
      </c>
    </row>
    <row r="16" customFormat="false" ht="15" hidden="false" customHeight="false" outlineLevel="0" collapsed="false">
      <c r="A16" s="2" t="s">
        <v>98</v>
      </c>
      <c r="B16" s="3"/>
      <c r="C16" s="3"/>
      <c r="D16" s="3"/>
      <c r="E16" s="3"/>
      <c r="F16" s="4" t="n">
        <v>3000</v>
      </c>
      <c r="G16" s="2" t="s">
        <v>99</v>
      </c>
    </row>
    <row r="17" customFormat="false" ht="15" hidden="false" customHeight="false" outlineLevel="0" collapsed="false">
      <c r="A17" s="2" t="s">
        <v>100</v>
      </c>
      <c r="B17" s="4" t="n">
        <v>100</v>
      </c>
      <c r="C17" s="4" t="n">
        <v>1000</v>
      </c>
      <c r="D17" s="3"/>
      <c r="E17" s="3"/>
      <c r="F17" s="3"/>
      <c r="G17" s="2" t="s">
        <v>101</v>
      </c>
    </row>
    <row r="18" customFormat="false" ht="23.85" hidden="false" customHeight="false" outlineLevel="0" collapsed="false">
      <c r="A18" s="2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/>
      <c r="G18" s="2" t="s">
        <v>107</v>
      </c>
    </row>
    <row r="19" customFormat="false" ht="23.85" hidden="false" customHeight="false" outlineLevel="0" collapsed="false">
      <c r="A19" s="2" t="s">
        <v>108</v>
      </c>
      <c r="B19" s="3" t="s">
        <v>109</v>
      </c>
      <c r="C19" s="3" t="s">
        <v>110</v>
      </c>
      <c r="D19" s="3" t="s">
        <v>111</v>
      </c>
      <c r="E19" s="3" t="s">
        <v>112</v>
      </c>
      <c r="F19" s="3"/>
      <c r="G19" s="2" t="s">
        <v>113</v>
      </c>
    </row>
    <row r="20" customFormat="false" ht="15" hidden="false" customHeight="false" outlineLevel="0" collapsed="false">
      <c r="A20" s="2" t="s">
        <v>114</v>
      </c>
      <c r="B20" s="3" t="s">
        <v>115</v>
      </c>
      <c r="C20" s="3" t="s">
        <v>116</v>
      </c>
      <c r="D20" s="3" t="s">
        <v>115</v>
      </c>
      <c r="E20" s="3" t="s">
        <v>116</v>
      </c>
      <c r="F20" s="3"/>
      <c r="G20" s="2" t="s">
        <v>117</v>
      </c>
    </row>
    <row r="21" customFormat="false" ht="15" hidden="false" customHeight="false" outlineLevel="0" collapsed="false">
      <c r="A21" s="2" t="s">
        <v>118</v>
      </c>
      <c r="B21" s="3"/>
      <c r="C21" s="3"/>
      <c r="D21" s="4" t="n">
        <v>14</v>
      </c>
      <c r="E21" s="4" t="n">
        <v>30</v>
      </c>
      <c r="F21" s="4" t="n">
        <v>14</v>
      </c>
      <c r="G21" s="2" t="s">
        <v>119</v>
      </c>
    </row>
    <row r="22" customFormat="false" ht="15" hidden="false" customHeight="false" outlineLevel="0" collapsed="false">
      <c r="A22" s="2" t="s">
        <v>120</v>
      </c>
      <c r="B22" s="6" t="n">
        <v>0.2</v>
      </c>
      <c r="C22" s="6" t="n">
        <v>0.1</v>
      </c>
      <c r="D22" s="6" t="n">
        <v>0.2</v>
      </c>
      <c r="E22" s="6" t="n">
        <v>0.1</v>
      </c>
      <c r="F22" s="3"/>
      <c r="G22" s="2" t="s">
        <v>121</v>
      </c>
    </row>
    <row r="23" customFormat="false" ht="15" hidden="false" customHeight="false" outlineLevel="0" collapsed="false">
      <c r="A23" s="2" t="s">
        <v>122</v>
      </c>
      <c r="B23" s="3"/>
      <c r="C23" s="3"/>
      <c r="D23" s="4" t="n">
        <v>50000</v>
      </c>
      <c r="E23" s="4" t="n">
        <v>250000</v>
      </c>
      <c r="F23" s="4" t="n">
        <v>63000</v>
      </c>
      <c r="G23" s="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  <col collapsed="false" customWidth="true" hidden="false" outlineLevel="0" max="6" min="6" style="0" width="32"/>
    <col collapsed="false" customWidth="true" hidden="false" outlineLevel="0" max="7" min="7" style="0" width="50"/>
  </cols>
  <sheetData>
    <row r="1" customFormat="false" ht="21.75" hidden="false" customHeight="true" outlineLevel="0" collapsed="false">
      <c r="A1" s="1" t="s">
        <v>124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125</v>
      </c>
    </row>
    <row r="2" customFormat="false" ht="15" hidden="false" customHeight="false" outlineLevel="0" collapsed="false">
      <c r="A2" s="7" t="s">
        <v>126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127</v>
      </c>
    </row>
    <row r="3" customFormat="false" ht="15" hidden="false" customHeight="false" outlineLevel="0" collapsed="false">
      <c r="A3" s="7" t="s">
        <v>128</v>
      </c>
      <c r="B3" s="2" t="s">
        <v>129</v>
      </c>
      <c r="C3" s="2" t="s">
        <v>129</v>
      </c>
      <c r="D3" s="2" t="s">
        <v>130</v>
      </c>
      <c r="E3" s="2" t="s">
        <v>130</v>
      </c>
      <c r="F3" s="2" t="s">
        <v>131</v>
      </c>
      <c r="G3" s="2" t="s">
        <v>132</v>
      </c>
    </row>
    <row r="4" customFormat="false" ht="23.85" hidden="false" customHeight="false" outlineLevel="0" collapsed="false">
      <c r="A4" s="7" t="s">
        <v>133</v>
      </c>
      <c r="B4" s="4" t="n">
        <v>1000</v>
      </c>
      <c r="C4" s="4" t="n">
        <v>2500</v>
      </c>
      <c r="D4" s="4" t="n">
        <v>1000</v>
      </c>
      <c r="E4" s="4" t="n">
        <v>2500</v>
      </c>
      <c r="F4" s="4" t="n">
        <v>1000</v>
      </c>
      <c r="G4" s="2" t="s">
        <v>134</v>
      </c>
    </row>
    <row r="5" customFormat="false" ht="23.85" hidden="false" customHeight="false" outlineLevel="0" collapsed="false">
      <c r="A5" s="7" t="s">
        <v>135</v>
      </c>
      <c r="B5" s="4" t="n">
        <v>500</v>
      </c>
      <c r="C5" s="4" t="n">
        <v>1500</v>
      </c>
      <c r="D5" s="4" t="n">
        <v>500</v>
      </c>
      <c r="E5" s="4" t="n">
        <v>1500</v>
      </c>
      <c r="F5" s="4" t="n">
        <v>500</v>
      </c>
      <c r="G5" s="2" t="s">
        <v>136</v>
      </c>
    </row>
    <row r="6" customFormat="false" ht="15" hidden="false" customHeight="false" outlineLevel="0" collapsed="false">
      <c r="A6" s="7" t="s">
        <v>137</v>
      </c>
      <c r="B6" s="2" t="s">
        <v>138</v>
      </c>
      <c r="C6" s="2" t="s">
        <v>138</v>
      </c>
      <c r="D6" s="2" t="s">
        <v>139</v>
      </c>
      <c r="E6" s="2" t="s">
        <v>139</v>
      </c>
      <c r="F6" s="2" t="s">
        <v>140</v>
      </c>
      <c r="G6" s="2" t="s">
        <v>141</v>
      </c>
    </row>
    <row r="7" customFormat="false" ht="15" hidden="false" customHeight="false" outlineLevel="0" collapsed="false">
      <c r="A7" s="7" t="s">
        <v>142</v>
      </c>
      <c r="B7" s="2"/>
      <c r="C7" s="2"/>
      <c r="D7" s="4" t="n">
        <v>60</v>
      </c>
      <c r="E7" s="4" t="n">
        <v>200</v>
      </c>
      <c r="F7" s="2"/>
      <c r="G7" s="2" t="s">
        <v>143</v>
      </c>
    </row>
    <row r="8" customFormat="false" ht="15" hidden="false" customHeight="false" outlineLevel="0" collapsed="false">
      <c r="A8" s="7" t="s">
        <v>144</v>
      </c>
      <c r="B8" s="2"/>
      <c r="C8" s="2"/>
      <c r="D8" s="2"/>
      <c r="E8" s="2"/>
      <c r="F8" s="4" t="n">
        <v>3000</v>
      </c>
      <c r="G8" s="2" t="s">
        <v>145</v>
      </c>
    </row>
    <row r="9" customFormat="false" ht="23.85" hidden="false" customHeight="false" outlineLevel="0" collapsed="false">
      <c r="A9" s="7" t="s">
        <v>146</v>
      </c>
      <c r="B9" s="2" t="s">
        <v>147</v>
      </c>
      <c r="C9" s="2" t="s">
        <v>147</v>
      </c>
      <c r="D9" s="2" t="s">
        <v>148</v>
      </c>
      <c r="E9" s="2" t="s">
        <v>148</v>
      </c>
      <c r="F9" s="2" t="s">
        <v>149</v>
      </c>
      <c r="G9" s="2"/>
    </row>
    <row r="10" customFormat="false" ht="23.85" hidden="false" customHeight="false" outlineLevel="0" collapsed="false">
      <c r="A10" s="7" t="s">
        <v>150</v>
      </c>
      <c r="B10" s="2" t="s">
        <v>151</v>
      </c>
      <c r="C10" s="2" t="s">
        <v>151</v>
      </c>
      <c r="D10" s="2" t="s">
        <v>152</v>
      </c>
      <c r="E10" s="2" t="s">
        <v>152</v>
      </c>
      <c r="F10" s="2" t="s">
        <v>153</v>
      </c>
      <c r="G10" s="2"/>
    </row>
    <row r="11" customFormat="false" ht="23.85" hidden="false" customHeight="false" outlineLevel="0" collapsed="false">
      <c r="A11" s="7" t="s">
        <v>154</v>
      </c>
      <c r="B11" s="2" t="s">
        <v>155</v>
      </c>
      <c r="C11" s="2" t="s">
        <v>155</v>
      </c>
      <c r="D11" s="2" t="s">
        <v>155</v>
      </c>
      <c r="E11" s="2" t="s">
        <v>155</v>
      </c>
      <c r="F11" s="2" t="s">
        <v>156</v>
      </c>
      <c r="G11" s="2" t="s">
        <v>157</v>
      </c>
    </row>
    <row r="12" customFormat="false" ht="23.85" hidden="false" customHeight="false" outlineLevel="0" collapsed="false">
      <c r="A12" s="7" t="s">
        <v>158</v>
      </c>
      <c r="B12" s="2" t="s">
        <v>159</v>
      </c>
      <c r="C12" s="2" t="s">
        <v>159</v>
      </c>
      <c r="D12" s="2" t="s">
        <v>159</v>
      </c>
      <c r="E12" s="2" t="s">
        <v>159</v>
      </c>
      <c r="F12" s="2" t="s">
        <v>160</v>
      </c>
      <c r="G12" s="2" t="s">
        <v>161</v>
      </c>
    </row>
    <row r="13" customFormat="false" ht="23.85" hidden="false" customHeight="false" outlineLevel="0" collapsed="false">
      <c r="A13" s="7" t="s">
        <v>162</v>
      </c>
      <c r="B13" s="4" t="n">
        <v>5</v>
      </c>
      <c r="C13" s="4" t="n">
        <v>5</v>
      </c>
      <c r="D13" s="4" t="n">
        <v>5</v>
      </c>
      <c r="E13" s="4" t="n">
        <v>5</v>
      </c>
      <c r="F13" s="4" t="n">
        <v>5</v>
      </c>
      <c r="G13" s="2" t="s">
        <v>163</v>
      </c>
    </row>
    <row r="14" customFormat="false" ht="35.05" hidden="false" customHeight="false" outlineLevel="0" collapsed="false">
      <c r="A14" s="7" t="s">
        <v>164</v>
      </c>
      <c r="B14" s="4" t="n">
        <v>12</v>
      </c>
      <c r="C14" s="4" t="n">
        <v>12</v>
      </c>
      <c r="D14" s="4" t="n">
        <v>12</v>
      </c>
      <c r="E14" s="4" t="n">
        <v>12</v>
      </c>
      <c r="F14" s="4" t="n">
        <v>12</v>
      </c>
      <c r="G14" s="2" t="s">
        <v>165</v>
      </c>
    </row>
    <row r="15" customFormat="false" ht="23.85" hidden="false" customHeight="false" outlineLevel="0" collapsed="false">
      <c r="A15" s="7" t="s">
        <v>166</v>
      </c>
      <c r="B15" s="2" t="s">
        <v>155</v>
      </c>
      <c r="C15" s="2" t="s">
        <v>155</v>
      </c>
      <c r="D15" s="2" t="s">
        <v>167</v>
      </c>
      <c r="E15" s="2" t="s">
        <v>167</v>
      </c>
      <c r="F15" s="2" t="s">
        <v>155</v>
      </c>
      <c r="G15" s="2"/>
    </row>
    <row r="16" customFormat="false" ht="23.85" hidden="false" customHeight="false" outlineLevel="0" collapsed="false">
      <c r="A16" s="7" t="s">
        <v>168</v>
      </c>
      <c r="B16" s="2" t="s">
        <v>169</v>
      </c>
      <c r="C16" s="2" t="s">
        <v>169</v>
      </c>
      <c r="D16" s="2" t="s">
        <v>169</v>
      </c>
      <c r="E16" s="2" t="s">
        <v>169</v>
      </c>
      <c r="F16" s="2" t="s">
        <v>170</v>
      </c>
      <c r="G16" s="2"/>
    </row>
    <row r="17" customFormat="false" ht="35.05" hidden="false" customHeight="false" outlineLevel="0" collapsed="false">
      <c r="A17" s="7" t="s">
        <v>171</v>
      </c>
      <c r="B17" s="2" t="s">
        <v>172</v>
      </c>
      <c r="C17" s="2" t="s">
        <v>173</v>
      </c>
      <c r="D17" s="2" t="s">
        <v>174</v>
      </c>
      <c r="E17" s="2" t="s">
        <v>175</v>
      </c>
      <c r="F17" s="2" t="s">
        <v>176</v>
      </c>
      <c r="G17" s="2" t="s">
        <v>177</v>
      </c>
    </row>
    <row r="18" customFormat="false" ht="23.85" hidden="false" customHeight="false" outlineLevel="0" collapsed="false">
      <c r="A18" s="7" t="s">
        <v>178</v>
      </c>
      <c r="B18" s="2" t="s">
        <v>179</v>
      </c>
      <c r="C18" s="2" t="s">
        <v>180</v>
      </c>
      <c r="D18" s="2" t="s">
        <v>181</v>
      </c>
      <c r="E18" s="2" t="s">
        <v>181</v>
      </c>
      <c r="F18" s="2" t="s">
        <v>181</v>
      </c>
      <c r="G18" s="2"/>
    </row>
    <row r="19" customFormat="false" ht="15" hidden="false" customHeight="false" outlineLevel="0" collapsed="false">
      <c r="A19" s="7" t="s">
        <v>182</v>
      </c>
      <c r="B19" s="2" t="s">
        <v>183</v>
      </c>
      <c r="C19" s="2" t="s">
        <v>184</v>
      </c>
      <c r="D19" s="2" t="s">
        <v>185</v>
      </c>
      <c r="E19" s="2" t="s">
        <v>185</v>
      </c>
      <c r="F19" s="2" t="s">
        <v>186</v>
      </c>
      <c r="G19" s="2" t="s">
        <v>187</v>
      </c>
    </row>
    <row r="20" customFormat="false" ht="23.85" hidden="false" customHeight="false" outlineLevel="0" collapsed="false">
      <c r="A20" s="7" t="s">
        <v>188</v>
      </c>
      <c r="B20" s="2" t="s">
        <v>189</v>
      </c>
      <c r="C20" s="2" t="s">
        <v>190</v>
      </c>
      <c r="D20" s="2" t="s">
        <v>191</v>
      </c>
      <c r="E20" s="2" t="s">
        <v>191</v>
      </c>
      <c r="F20" s="2" t="s">
        <v>192</v>
      </c>
      <c r="G20" s="2" t="s">
        <v>193</v>
      </c>
    </row>
    <row r="21" customFormat="false" ht="35.05" hidden="false" customHeight="false" outlineLevel="0" collapsed="false">
      <c r="A21" s="7" t="s">
        <v>194</v>
      </c>
      <c r="B21" s="2" t="s">
        <v>195</v>
      </c>
      <c r="C21" s="2" t="s">
        <v>196</v>
      </c>
      <c r="D21" s="2" t="s">
        <v>196</v>
      </c>
      <c r="E21" s="2" t="s">
        <v>196</v>
      </c>
      <c r="F21" s="2" t="s">
        <v>196</v>
      </c>
      <c r="G21" s="2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8" t="s">
        <v>198</v>
      </c>
    </row>
    <row r="2" customFormat="false" ht="15" hidden="false" customHeight="false" outlineLevel="0" collapsed="false">
      <c r="A2" s="8" t="s">
        <v>199</v>
      </c>
    </row>
    <row r="3" customFormat="false" ht="23.85" hidden="false" customHeight="false" outlineLevel="0" collapsed="false">
      <c r="A3" s="8" t="s">
        <v>200</v>
      </c>
    </row>
    <row r="4" customFormat="false" ht="15" hidden="false" customHeight="false" outlineLevel="0" collapsed="false">
      <c r="A4" s="8" t="s">
        <v>201</v>
      </c>
    </row>
    <row r="5" customFormat="false" ht="15" hidden="false" customHeight="false" outlineLevel="0" collapsed="false">
      <c r="A5" s="8" t="s">
        <v>202</v>
      </c>
    </row>
    <row r="6" customFormat="false" ht="23.85" hidden="false" customHeight="false" outlineLevel="0" collapsed="false">
      <c r="A6" s="8" t="s">
        <v>203</v>
      </c>
    </row>
    <row r="7" customFormat="false" ht="23.85" hidden="false" customHeight="false" outlineLevel="0" collapsed="false">
      <c r="A7" s="8" t="s">
        <v>204</v>
      </c>
    </row>
    <row r="8" customFormat="false" ht="15" hidden="false" customHeight="false" outlineLevel="0" collapsed="false">
      <c r="A8" s="8" t="s">
        <v>205</v>
      </c>
    </row>
    <row r="9" customFormat="false" ht="23.85" hidden="false" customHeight="false" outlineLevel="0" collapsed="false">
      <c r="A9" s="8" t="s">
        <v>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2026-10-15T12:59:33Z</dcterms:created>
  <dc:creator>openpyxl</dc:creator>
  <dc:description/>
  <dc:language>en-US</dc:language>
  <cp:lastModifiedBy/>
  <dcterms:modified xsi:type="dcterms:W3CDTF">2026-10-15T12:59:33Z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