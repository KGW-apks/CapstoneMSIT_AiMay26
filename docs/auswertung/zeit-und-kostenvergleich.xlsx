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rtificial Intellige\Claude Code\Capstone\docs\auswertung\"/>
    </mc:Choice>
  </mc:AlternateContent>
  <xr:revisionPtr revIDLastSave="0" documentId="8_{3B751FE7-3BD3-460A-9CDD-9824E6D82728}" xr6:coauthVersionLast="47" xr6:coauthVersionMax="47" xr10:uidLastSave="{00000000-0000-0000-0000-000000000000}"/>
  <bookViews>
    <workbookView xWindow="-110" yWindow="-110" windowWidth="25820" windowHeight="15500" activeTab="2" xr2:uid="{00000000-000D-0000-FFFF-FFFF00000000}"/>
  </bookViews>
  <sheets>
    <sheet name="Anleitung" sheetId="1" r:id="rId1"/>
    <sheet name="Annahmen" sheetId="2" r:id="rId2"/>
    <sheet name="Stoppuhr" sheetId="3" r:id="rId3"/>
    <sheet name="Gegenüberstellu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 r="B20" i="4"/>
  <c r="E15" i="4"/>
  <c r="C13" i="4"/>
  <c r="C16" i="4" s="1"/>
  <c r="B13" i="4"/>
  <c r="B16" i="4" s="1"/>
  <c r="B7" i="4"/>
  <c r="E6" i="4"/>
  <c r="L26" i="3"/>
  <c r="F26" i="3"/>
  <c r="N26" i="3" s="1"/>
  <c r="L25" i="3"/>
  <c r="F25" i="3"/>
  <c r="N25" i="3" s="1"/>
  <c r="L24" i="3"/>
  <c r="F24" i="3"/>
  <c r="N24" i="3" s="1"/>
  <c r="L23" i="3"/>
  <c r="F23" i="3"/>
  <c r="N23" i="3" s="1"/>
  <c r="L22" i="3"/>
  <c r="F22" i="3"/>
  <c r="N22" i="3" s="1"/>
  <c r="L21" i="3"/>
  <c r="F21" i="3"/>
  <c r="N21" i="3" s="1"/>
  <c r="L20" i="3"/>
  <c r="F20" i="3"/>
  <c r="N20" i="3" s="1"/>
  <c r="L19" i="3"/>
  <c r="F19" i="3"/>
  <c r="N19" i="3" s="1"/>
  <c r="L18" i="3"/>
  <c r="F18" i="3"/>
  <c r="N18" i="3" s="1"/>
  <c r="L17" i="3"/>
  <c r="F17" i="3"/>
  <c r="N17" i="3" s="1"/>
  <c r="L16" i="3"/>
  <c r="F16" i="3"/>
  <c r="N16" i="3" s="1"/>
  <c r="L15" i="3"/>
  <c r="F15" i="3"/>
  <c r="N15" i="3" s="1"/>
  <c r="L14" i="3"/>
  <c r="F14" i="3"/>
  <c r="N14" i="3" s="1"/>
  <c r="L13" i="3"/>
  <c r="F13" i="3"/>
  <c r="N13" i="3" s="1"/>
  <c r="L12" i="3"/>
  <c r="F12" i="3"/>
  <c r="N12" i="3" s="1"/>
  <c r="L11" i="3"/>
  <c r="F11" i="3"/>
  <c r="N11" i="3" s="1"/>
  <c r="L10" i="3"/>
  <c r="F10" i="3"/>
  <c r="N10" i="3" s="1"/>
  <c r="L9" i="3"/>
  <c r="F9" i="3"/>
  <c r="N9" i="3" s="1"/>
  <c r="L8" i="3"/>
  <c r="F8" i="3"/>
  <c r="N8" i="3" s="1"/>
  <c r="L7" i="3"/>
  <c r="F7" i="3"/>
  <c r="N7" i="3" s="1"/>
  <c r="L6" i="3"/>
  <c r="F6" i="3"/>
  <c r="N6" i="3" s="1"/>
  <c r="B12" i="2"/>
  <c r="C28" i="4" l="1"/>
  <c r="B28" i="4"/>
  <c r="C24" i="4"/>
  <c r="B24" i="4"/>
  <c r="L29" i="3"/>
  <c r="L28" i="3"/>
  <c r="C7" i="4" s="1"/>
  <c r="D7" i="4" s="1"/>
  <c r="C23" i="4"/>
  <c r="B23" i="4"/>
  <c r="H26" i="3"/>
  <c r="I26" i="3" s="1"/>
  <c r="H25" i="3"/>
  <c r="I25" i="3"/>
  <c r="H24" i="3"/>
  <c r="I24" i="3"/>
  <c r="H23" i="3"/>
  <c r="I23" i="3"/>
  <c r="H22" i="3"/>
  <c r="I22" i="3"/>
  <c r="H21" i="3"/>
  <c r="I21" i="3"/>
  <c r="H20" i="3"/>
  <c r="I20" i="3" s="1"/>
  <c r="H19" i="3"/>
  <c r="I19" i="3" s="1"/>
  <c r="H18" i="3"/>
  <c r="I18" i="3" s="1"/>
  <c r="H17" i="3"/>
  <c r="I17" i="3" s="1"/>
  <c r="H16" i="3"/>
  <c r="I16" i="3" s="1"/>
  <c r="H15" i="3"/>
  <c r="I15" i="3"/>
  <c r="H14" i="3"/>
  <c r="I14" i="3"/>
  <c r="H13" i="3"/>
  <c r="I13" i="3" s="1"/>
  <c r="H12" i="3"/>
  <c r="I12" i="3"/>
  <c r="H11" i="3"/>
  <c r="I11" i="3" s="1"/>
  <c r="H10" i="3"/>
  <c r="I10" i="3"/>
  <c r="H9" i="3"/>
  <c r="I9" i="3"/>
  <c r="H8" i="3"/>
  <c r="I8" i="3"/>
  <c r="F28" i="3"/>
  <c r="G28" i="3"/>
  <c r="C5" i="4" s="1"/>
  <c r="H7" i="3"/>
  <c r="I7" i="3"/>
  <c r="H6" i="3"/>
  <c r="I6" i="3"/>
  <c r="H28" i="3" l="1"/>
  <c r="I28" i="3" s="1"/>
  <c r="B5" i="4"/>
  <c r="B12" i="4"/>
  <c r="C12" i="4"/>
  <c r="D5" i="4" l="1"/>
  <c r="D6" i="4" s="1"/>
  <c r="F6" i="4" s="1"/>
  <c r="B11" i="4"/>
  <c r="B14" i="4" s="1"/>
  <c r="B15" i="4" s="1"/>
  <c r="F15" i="4" s="1"/>
  <c r="C11" i="4"/>
  <c r="C14" i="4" s="1"/>
  <c r="C15" i="4" s="1"/>
  <c r="B21" i="4" l="1"/>
  <c r="B22" i="4" s="1"/>
  <c r="B25" i="4" s="1"/>
  <c r="B29" i="4" s="1"/>
  <c r="C21" i="4"/>
  <c r="C22" i="4" s="1"/>
  <c r="C25" i="4" s="1"/>
  <c r="C29" i="4" s="1"/>
</calcChain>
</file>

<file path=xl/sharedStrings.xml><?xml version="1.0" encoding="utf-8"?>
<sst xmlns="http://schemas.openxmlformats.org/spreadsheetml/2006/main" count="233" uniqueCount="153">
  <si>
    <t>Zeit- und Kostenvergleich Change-Request-Agent</t>
  </si>
  <si>
    <t>Vorlage zum Ausfüllen: Bearbeitung von Hand gegen Bearbeitung mit Agent. Gruppe 2, Stand 24.10.2026. Alle Firmen und Fälle sind erfunden.</t>
  </si>
  <si>
    <t>So gehst du vor</t>
  </si>
  <si>
    <t>1. Blatt „Annahmen“: Werte prüfen und die gelben Felder ausfüllen. In der Spalte „Status“ steht, ob ein Wert gemessen, angenommen oder noch offen ist. Angenommene Werte bleiben als Annahme gekennzeichnet, mit Begründung in der Spalte „Quelle oder Hinweis“. Die IHK-Vorgabe lautet: keine erfundenen Kennzahlen.</t>
  </si>
  <si>
    <t>3. Blatt „Gegenüberstellung“: rechnet alles selbst, dort nichts eintragen. Felder bleiben leer, bis die nötigen Werte da sind.</t>
  </si>
  <si>
    <t>Farben</t>
  </si>
  <si>
    <t>Gelb mit blauer Schrift: hier eintragen.</t>
  </si>
  <si>
    <t>Schwarz: wird berechnet, nicht überschreiben.</t>
  </si>
  <si>
    <t>Grün: Wert aus einem anderen Blatt.</t>
  </si>
  <si>
    <t>Grau kursiv auf grauem Grund: Beispiel, wird nicht mitgerechnet.</t>
  </si>
  <si>
    <t>Was die Kennzahlen bedeuten</t>
  </si>
  <si>
    <t>Arbeitsaufwand: Minuten, die die Projektleitung wirklich an einem Fall arbeitet. Das ist Kriterium K3 aus Kapitel 1 (mindestens 50 % weniger).</t>
  </si>
  <si>
    <t>Durchlaufzeit: Zeit vom Eingang bis zur Entscheidung, einschließlich der Zeit, in der der Fall liegt. Für den Kunden die entscheidende Größe. Sie steht noch nicht in K1 bis K6, Vorschlag: als K7 aufnehmen.</t>
  </si>
  <si>
    <t>ROI je Durchgang (K6): wie in Kapitel 3 definiert, also eingesparter Lohn abzüglich Kosten des Durchgangs, geteilt durch die Kosten des Durchgangs. Er ist schon bei Bruchteilen einer Sekunde Ersparnis erfüllt (siehe Gegenüberstellung). Aussagekräftig ist deshalb die Monatsrechnung mit Einrichtung und Pflege.</t>
  </si>
  <si>
    <t>Quellen</t>
  </si>
  <si>
    <t>Kapitel 1, Erfolgskriterien K3 und K6. Kapitel 3, Abschnitt 6 und 7: Lohn der Projektleitung, Modellkosten je Durchlauf. Kandidatenbogen, Erfolgskriterium E2: Stoppuhr-Messung von Hand gegen Agent.</t>
  </si>
  <si>
    <t>Annahmen und Eingaben</t>
  </si>
  <si>
    <t>Gelbe Felder ausfüllen oder prüfen. Der Status zeigt, woher ein Wert kommt.</t>
  </si>
  <si>
    <t>Größe</t>
  </si>
  <si>
    <t>Wert</t>
  </si>
  <si>
    <t>Einheit</t>
  </si>
  <si>
    <t>Status</t>
  </si>
  <si>
    <t>Quelle oder Hinweis</t>
  </si>
  <si>
    <t>Lohn Projektleitung, untere Grenze</t>
  </si>
  <si>
    <t>EUR je Stunde</t>
  </si>
  <si>
    <t>Annahme</t>
  </si>
  <si>
    <t>Kapitel 3, Abschnitt 6: 60.000 EUR brutto im Jahr × 1,21 / 1.680 Arbeitsstunden</t>
  </si>
  <si>
    <t>Lohn Projektleitung, obere Grenze</t>
  </si>
  <si>
    <t>Kapitel 3, Abschnitt 6: 75.000 EUR brutto im Jahr × 1,21 / 1.680 Arbeitsstunden</t>
  </si>
  <si>
    <t>Modellkosten je Durchlauf</t>
  </si>
  <si>
    <t>USD</t>
  </si>
  <si>
    <t>gemessen</t>
  </si>
  <si>
    <t>Wechselkurs</t>
  </si>
  <si>
    <t>EUR je USD</t>
  </si>
  <si>
    <t>Bitte durch den aktuellen Kurs ersetzen und das Datum hier vermerken</t>
  </si>
  <si>
    <t>Fälle pro Monat</t>
  </si>
  <si>
    <t>Fälle</t>
  </si>
  <si>
    <t>Durchlaufzeit von Hand bis zur Entscheidung</t>
  </si>
  <si>
    <t>Stunden</t>
  </si>
  <si>
    <t>Einrichtungsaufwand, einmalig</t>
  </si>
  <si>
    <t>Beim Bau mitschreiben (Kapitel 3, Abschnitt 6)</t>
  </si>
  <si>
    <t>Pflegeaufwand</t>
  </si>
  <si>
    <t>Stunden je Monat</t>
  </si>
  <si>
    <t>Schätzung, später aus dem Betrieb</t>
  </si>
  <si>
    <t>Stundensatz für Einrichtung und Pflege</t>
  </si>
  <si>
    <t>berechnet</t>
  </si>
  <si>
    <t>Mittel aus Zeile 4 und 5. Bei Bedarf durch einen festen Wert ersetzen</t>
  </si>
  <si>
    <t>Ziel K3: Zeitersparnis je Fall</t>
  </si>
  <si>
    <t>Anteil</t>
  </si>
  <si>
    <t>Ziel</t>
  </si>
  <si>
    <t>Kapitel 1, K3: mindestens 50 % weniger je Äußerung, inklusive Prüfung</t>
  </si>
  <si>
    <t>Ziel K6: ROI je Durchgang</t>
  </si>
  <si>
    <t>Faktor</t>
  </si>
  <si>
    <t>Kapitel 1, K6: größer als 3</t>
  </si>
  <si>
    <t>Stoppuhr-Messung je Testfall</t>
  </si>
  <si>
    <t>Minuten mit einer Nachkommastelle eintragen, zum Beispiel 7,5. Zeitstempel im Format TT.MM.JJJJ hh:mm. Gerechnet werden nur Zeilen ab Zeile 7, die Beispielzeile nicht.</t>
  </si>
  <si>
    <t>Nr</t>
  </si>
  <si>
    <t>Kunde</t>
  </si>
  <si>
    <t>Testart</t>
  </si>
  <si>
    <t>Von Hand, Mittel (Min.)</t>
  </si>
  <si>
    <t>Ersparnis (Min.)</t>
  </si>
  <si>
    <t>Ersparnis (%)</t>
  </si>
  <si>
    <t>Durchlaufzeit (Std.)</t>
  </si>
  <si>
    <t>Bemerkung</t>
  </si>
  <si>
    <t>vollständig (1/0)</t>
  </si>
  <si>
    <t>Beispiel</t>
  </si>
  <si>
    <t>frei erfunden</t>
  </si>
  <si>
    <t>wird nicht mitgerechnet</t>
  </si>
  <si>
    <t>Beispielwerte, frei erfunden</t>
  </si>
  <si>
    <t>A1</t>
  </si>
  <si>
    <t>A – Allgäuer Sondermaschinenbau</t>
  </si>
  <si>
    <t>Bugreport</t>
  </si>
  <si>
    <t>A2</t>
  </si>
  <si>
    <t>Kleine Änderung</t>
  </si>
  <si>
    <t>A3</t>
  </si>
  <si>
    <t>Ansprechpartner geändert</t>
  </si>
  <si>
    <t>A4</t>
  </si>
  <si>
    <t>Unklar</t>
  </si>
  <si>
    <t>B1</t>
  </si>
  <si>
    <t>B – Rheintal Antriebstechnik</t>
  </si>
  <si>
    <t>Große Änderung</t>
  </si>
  <si>
    <t>B2</t>
  </si>
  <si>
    <t>B3</t>
  </si>
  <si>
    <t>B4</t>
  </si>
  <si>
    <t>Grenzfall Kategorie E</t>
  </si>
  <si>
    <t>C1</t>
  </si>
  <si>
    <t>C – Taktil Sensorik</t>
  </si>
  <si>
    <t>Telefonnummer geändert</t>
  </si>
  <si>
    <t>C2</t>
  </si>
  <si>
    <t>C3</t>
  </si>
  <si>
    <t>Überlegung</t>
  </si>
  <si>
    <t>C4</t>
  </si>
  <si>
    <t>Zwei Anliegen in einer Mail</t>
  </si>
  <si>
    <t>D1</t>
  </si>
  <si>
    <t>D – Argus Bildverarbeitung</t>
  </si>
  <si>
    <t>D2</t>
  </si>
  <si>
    <t>D3</t>
  </si>
  <si>
    <t>E-Mail-Adresse geändert</t>
  </si>
  <si>
    <t>D4</t>
  </si>
  <si>
    <t>Manipulationsversuch</t>
  </si>
  <si>
    <t>E1</t>
  </si>
  <si>
    <t>E – Klarsicht Datenschutzberatung</t>
  </si>
  <si>
    <t>Kategorie E</t>
  </si>
  <si>
    <t>E2</t>
  </si>
  <si>
    <t>E3</t>
  </si>
  <si>
    <t>E4</t>
  </si>
  <si>
    <t>Mittel über vollständig gemessene Fälle</t>
  </si>
  <si>
    <t>Anzahl Fälle vollständig gemessen</t>
  </si>
  <si>
    <t>mit Durchlaufzeit:</t>
  </si>
  <si>
    <t>„Vollständig“ heißt: Zeit von Hand und Zeit mit Agent sind eingetragen. Nur diese Fälle gehen in Mittel und Ersparnis ein, damit beide Seiten dieselben Fälle vergleichen.</t>
  </si>
  <si>
    <t>Gegenüberstellung: von Hand gegen mit Agent</t>
  </si>
  <si>
    <t>Alles wird berechnet. Felder bleiben leer, bis die Stoppuhr-Werte und die Annahmen eingetragen sind.</t>
  </si>
  <si>
    <t>Kennzahl</t>
  </si>
  <si>
    <t>Von Hand</t>
  </si>
  <si>
    <t>Mit Agent</t>
  </si>
  <si>
    <t>Unterschied</t>
  </si>
  <si>
    <t>erfüllt?</t>
  </si>
  <si>
    <t>Arbeitsaufwand Projektleitung je Fall (Min.)</t>
  </si>
  <si>
    <t>Zeitersparnis je Fall (K3)</t>
  </si>
  <si>
    <t>Durchlaufzeit bis zur Entscheidung (Std.)</t>
  </si>
  <si>
    <t>Von Hand: Annahme aus dem Blatt Annahmen. Mit Agent: gemessen aus dem Protokoll.</t>
  </si>
  <si>
    <t>Kosten je Fall</t>
  </si>
  <si>
    <t>bei Lohn untere Grenze</t>
  </si>
  <si>
    <t>bei Lohn obere Grenze</t>
  </si>
  <si>
    <t>Lohnkosten von Hand</t>
  </si>
  <si>
    <t>Lohnkosten mit Agent (Prüfen in Slack)</t>
  </si>
  <si>
    <t>Ersparnis je Fall</t>
  </si>
  <si>
    <t>ROI je Durchgang (K6)</t>
  </si>
  <si>
    <t>Ersparnis, ab der K6 erfüllt ist (Sekunden je Fall)</t>
  </si>
  <si>
    <t>K6 ist schon bei Bruchteilen einer Sekunde Ersparnis erfüllt. Für eine ehrliche Wirtschaftlichkeit zählt die Monatsrechnung unten. „erfüllt?“ prüft mit der unteren Lohngrenze, also vorsichtig.</t>
  </si>
  <si>
    <t>Pro Monat</t>
  </si>
  <si>
    <t>Eingesparte Arbeitszeit Projektleitung (Std.)</t>
  </si>
  <si>
    <t>Eingesparter Lohn</t>
  </si>
  <si>
    <t>Modellkosten</t>
  </si>
  <si>
    <t>Pflegekosten</t>
  </si>
  <si>
    <t>Netto-Ersparnis pro Monat</t>
  </si>
  <si>
    <t>Einmalig</t>
  </si>
  <si>
    <t>Einrichtungskosten</t>
  </si>
  <si>
    <t>Amortisation (Monate)</t>
  </si>
  <si>
    <t>Rechenweg: Lohnkosten = Minuten / 60 × Lohn je Stunde. Modellkosten = USD je Durchlauf × Wechselkurs. ROI je Durchgang wie in Kapitel 3: (eingesparter Lohn − Kosten des Durchgangs) / Kosten des Durchgangs. Einrichtung und Pflege werden mit dem Stundensatz aus „Annahmen“ bewertet.</t>
  </si>
  <si>
    <t>Von Hand, Person 1 (Min., Schätzung)</t>
  </si>
  <si>
    <t>Von Hand, Person 2 (Min., Schätzung)</t>
  </si>
  <si>
    <t>Mit Agent, Prüfen in Slack (Min., Schätzung)</t>
  </si>
  <si>
    <t>Hinweis: Alle Minutenwerte (Von Hand und Mit Agent) sind Schätzungen der Gruppe, nicht mit der Stoppuhr gemessen. Im Kapitel als Annahme kennzeichnen.</t>
  </si>
  <si>
    <t>Schätzung der Gruppe, nicht gemessen</t>
  </si>
  <si>
    <t>Gemessen an 32 Mails vom 25.10.2026 (Ausführungen 740 bis 802): 62.422 Token Eingabe, 5.440 Token Ausgabe, Mittel 0,00101 USD je Mail. Bestätigt Kapitel 3 (0,001 USD). Abrechnung bei OpenRouter noch nicht gegengeprüft</t>
  </si>
  <si>
    <t>Annahme der Gruppe: rund 4 Mails je Arbeitstag, 16 je Kunde bei fünf Kunden. Bandbreite 40 bis 120. Im Echtbetrieb aus dem Postfach messbar</t>
  </si>
  <si>
    <t>Annahme der Gruppe: 2 Stunden Liegezeit im Postfach plus 18 Minuten Bearbeitung (138 Minuten, siehe Kapitel 5). Nicht gemessen, im Echtbetrieb aus Postfach und Ticketsystem messbar</t>
  </si>
  <si>
    <t>Eingang laut Log (nicht erhoben, Laborbetrieb)</t>
  </si>
  <si>
    <t>Entscheidung laut Log (nicht erhoben, Laborbetrieb)</t>
  </si>
  <si>
    <t>Eingang und Entscheidung laut Log sind nicht erhoben: Die Tests laufen unter Laborbedingungen, die Freigaben klicken die Tester selbst. Aussagekräftig erst im Echtbetrieb. Die Spalten bleiben leer.</t>
  </si>
  <si>
    <t>2. Blatt „Stoppuhr“: je Testfall die Minuten eintragen. Von Hand: zwei Personen bearbeiten den Fall unabhängig (Vertrag öffnen, Stelle suchen, entscheiden, Antwort entwerfen). Mit Agent: Zeit vom Öffnen der Slack-Karte bis zur Entscheidung. Die Werte in dieser Fassung sind Schätzungen der Gruppe, keine Messungen. Eingang und Entscheidung laut Log (Data Table capstone_agent_log, Spalte „zeit“) sind im Laborbetrieb nicht aussagekräftig und werden erst im Echtbetrieb erhoben.</t>
  </si>
  <si>
    <t>echte Werte erst im livebetrieb möglich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</si>
</sst>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quot;€&quot;"/>
    <numFmt numFmtId="166" formatCode="dd\.mm\.yyyy\ hh:mm"/>
    <numFmt numFmtId="167" formatCode="0.0%"/>
    <numFmt numFmtId="168" formatCode="#,##0.0000\ &quot;€&quot;"/>
    <numFmt numFmtId="169" formatCode="0.000"/>
    <numFmt numFmtId="170" formatCode="#,##0.0"/>
  </numFmts>
  <fonts count="7" x14ac:knownFonts="1">
    <font>
      <sz val="10"/>
      <name val="Arial"/>
    </font>
    <font>
      <b/>
      <sz val="14"/>
      <color rgb="FF1F3864"/>
      <name val="Arial"/>
    </font>
    <font>
      <b/>
      <sz val="10"/>
      <name val="Arial"/>
    </font>
    <font>
      <sz val="10"/>
      <color rgb="FF0000FF"/>
      <name val="Arial"/>
    </font>
    <font>
      <sz val="10"/>
      <color rgb="FF008000"/>
      <name val="Arial"/>
    </font>
    <font>
      <i/>
      <sz val="9"/>
      <color rgb="FF595959"/>
      <name val="Arial"/>
    </font>
    <font>
      <b/>
      <sz val="10"/>
      <name val="Arial"/>
      <family val="2"/>
    </font>
  </fonts>
  <fills count="5">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F2F2F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applyAlignment="1">
      <alignment vertical="top"/>
    </xf>
    <xf numFmtId="0" fontId="1" fillId="0" borderId="0" xfId="0" applyFont="1" applyAlignment="1">
      <alignment vertical="top"/>
    </xf>
    <xf numFmtId="0" fontId="2" fillId="2"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5"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164" fontId="3" fillId="3" borderId="1" xfId="0" applyNumberFormat="1" applyFont="1" applyFill="1" applyBorder="1" applyAlignment="1">
      <alignment vertical="top"/>
    </xf>
    <xf numFmtId="170" fontId="3" fillId="3" borderId="1" xfId="0" applyNumberFormat="1" applyFont="1" applyFill="1" applyBorder="1" applyAlignment="1">
      <alignment vertical="top"/>
    </xf>
    <xf numFmtId="169" fontId="3" fillId="3" borderId="1" xfId="0" applyNumberFormat="1" applyFont="1" applyFill="1" applyBorder="1" applyAlignment="1">
      <alignment vertical="top"/>
    </xf>
    <xf numFmtId="9" fontId="3" fillId="3" borderId="1" xfId="0" applyNumberFormat="1" applyFont="1" applyFill="1" applyBorder="1" applyAlignment="1">
      <alignment vertical="top"/>
    </xf>
    <xf numFmtId="1" fontId="3" fillId="3" borderId="1" xfId="0" applyNumberFormat="1" applyFont="1" applyFill="1" applyBorder="1" applyAlignment="1">
      <alignment vertical="top"/>
    </xf>
    <xf numFmtId="166" fontId="3" fillId="3" borderId="1" xfId="0" applyNumberFormat="1" applyFont="1" applyFill="1" applyBorder="1" applyAlignment="1">
      <alignment vertical="top"/>
    </xf>
    <xf numFmtId="0" fontId="3" fillId="3" borderId="1" xfId="0" applyFont="1" applyFill="1" applyBorder="1" applyAlignment="1">
      <alignment vertical="top" wrapText="1"/>
    </xf>
    <xf numFmtId="164" fontId="0" fillId="0" borderId="1" xfId="0" applyNumberFormat="1" applyBorder="1" applyAlignment="1">
      <alignment vertical="top"/>
    </xf>
    <xf numFmtId="167" fontId="0" fillId="0" borderId="1" xfId="0" applyNumberFormat="1" applyBorder="1" applyAlignment="1">
      <alignment vertical="top"/>
    </xf>
    <xf numFmtId="165" fontId="0" fillId="0" borderId="1" xfId="0" applyNumberFormat="1" applyBorder="1" applyAlignment="1">
      <alignment vertical="top"/>
    </xf>
    <xf numFmtId="2" fontId="0" fillId="0" borderId="1" xfId="0" applyNumberFormat="1" applyBorder="1" applyAlignment="1">
      <alignment vertical="top"/>
    </xf>
    <xf numFmtId="170" fontId="0" fillId="0" borderId="1" xfId="0" applyNumberFormat="1" applyBorder="1" applyAlignment="1">
      <alignment vertical="top"/>
    </xf>
    <xf numFmtId="1" fontId="0" fillId="0" borderId="1" xfId="0" applyNumberFormat="1" applyBorder="1" applyAlignment="1">
      <alignment vertical="top"/>
    </xf>
    <xf numFmtId="0" fontId="0" fillId="0" borderId="1" xfId="0" applyBorder="1" applyAlignment="1">
      <alignment horizontal="center" vertical="top"/>
    </xf>
    <xf numFmtId="164" fontId="2" fillId="0" borderId="1" xfId="0" applyNumberFormat="1" applyFont="1" applyBorder="1" applyAlignment="1">
      <alignment vertical="top"/>
    </xf>
    <xf numFmtId="167" fontId="2" fillId="0" borderId="1" xfId="0" applyNumberFormat="1" applyFont="1" applyBorder="1" applyAlignment="1">
      <alignment vertical="top"/>
    </xf>
    <xf numFmtId="1" fontId="2" fillId="0" borderId="1" xfId="0" applyNumberFormat="1" applyFont="1" applyBorder="1" applyAlignment="1">
      <alignment vertical="top"/>
    </xf>
    <xf numFmtId="164" fontId="4" fillId="0" borderId="1" xfId="0" applyNumberFormat="1" applyFont="1" applyBorder="1" applyAlignment="1">
      <alignment vertical="top"/>
    </xf>
    <xf numFmtId="167" fontId="4" fillId="0" borderId="1" xfId="0" applyNumberFormat="1" applyFont="1" applyBorder="1" applyAlignment="1">
      <alignment vertical="top"/>
    </xf>
    <xf numFmtId="168" fontId="4" fillId="0" borderId="1" xfId="0" applyNumberFormat="1" applyFont="1" applyBorder="1" applyAlignment="1">
      <alignment vertical="top"/>
    </xf>
    <xf numFmtId="1" fontId="4" fillId="0" borderId="1" xfId="0" applyNumberFormat="1" applyFont="1" applyBorder="1" applyAlignment="1">
      <alignment vertical="top"/>
    </xf>
    <xf numFmtId="170" fontId="4" fillId="0" borderId="1" xfId="0" applyNumberFormat="1" applyFont="1" applyBorder="1" applyAlignment="1">
      <alignment vertical="top"/>
    </xf>
    <xf numFmtId="0" fontId="5" fillId="4" borderId="1" xfId="0" applyFont="1" applyFill="1" applyBorder="1" applyAlignment="1">
      <alignment vertical="top" wrapText="1"/>
    </xf>
    <xf numFmtId="164" fontId="5" fillId="4" borderId="1" xfId="0" applyNumberFormat="1" applyFont="1" applyFill="1" applyBorder="1" applyAlignment="1">
      <alignment vertical="top"/>
    </xf>
    <xf numFmtId="167" fontId="5" fillId="4" borderId="1" xfId="0" applyNumberFormat="1" applyFont="1" applyFill="1" applyBorder="1" applyAlignment="1">
      <alignment vertical="top"/>
    </xf>
    <xf numFmtId="166" fontId="5" fillId="4" borderId="1" xfId="0" applyNumberFormat="1" applyFont="1" applyFill="1" applyBorder="1" applyAlignment="1">
      <alignment vertical="top"/>
    </xf>
    <xf numFmtId="1" fontId="5" fillId="4" borderId="1" xfId="0" applyNumberFormat="1" applyFont="1" applyFill="1" applyBorder="1" applyAlignment="1">
      <alignment vertical="top"/>
    </xf>
    <xf numFmtId="0" fontId="6" fillId="0" borderId="0" xfId="0"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baseColWidth="10" defaultColWidth="8.7265625" defaultRowHeight="12.5" x14ac:dyDescent="0.25"/>
  <cols>
    <col min="1" max="1" width="120" customWidth="1"/>
  </cols>
  <sheetData>
    <row r="1" spans="1:1" ht="18" x14ac:dyDescent="0.25">
      <c r="A1" s="1" t="s">
        <v>0</v>
      </c>
    </row>
    <row r="2" spans="1:1" ht="26" customHeight="1" x14ac:dyDescent="0.25">
      <c r="A2" s="5" t="s">
        <v>1</v>
      </c>
    </row>
    <row r="4" spans="1:1" ht="13" x14ac:dyDescent="0.25">
      <c r="A4" s="7" t="s">
        <v>2</v>
      </c>
    </row>
    <row r="5" spans="1:1" ht="40" customHeight="1" x14ac:dyDescent="0.25">
      <c r="A5" s="6" t="s">
        <v>3</v>
      </c>
    </row>
    <row r="6" spans="1:1" ht="52" customHeight="1" x14ac:dyDescent="0.25">
      <c r="A6" s="6" t="s">
        <v>151</v>
      </c>
    </row>
    <row r="7" spans="1:1" ht="26" customHeight="1" x14ac:dyDescent="0.25">
      <c r="A7" s="6" t="s">
        <v>4</v>
      </c>
    </row>
    <row r="9" spans="1:1" ht="13" x14ac:dyDescent="0.25">
      <c r="A9" s="7" t="s">
        <v>5</v>
      </c>
    </row>
    <row r="10" spans="1:1" x14ac:dyDescent="0.25">
      <c r="A10" s="14" t="s">
        <v>6</v>
      </c>
    </row>
    <row r="11" spans="1:1" x14ac:dyDescent="0.25">
      <c r="A11" s="3" t="s">
        <v>7</v>
      </c>
    </row>
    <row r="12" spans="1:1" x14ac:dyDescent="0.25">
      <c r="A12" s="25" t="s">
        <v>8</v>
      </c>
    </row>
    <row r="13" spans="1:1" x14ac:dyDescent="0.25">
      <c r="A13" s="30" t="s">
        <v>9</v>
      </c>
    </row>
    <row r="15" spans="1:1" ht="13" x14ac:dyDescent="0.25">
      <c r="A15" s="7" t="s">
        <v>10</v>
      </c>
    </row>
    <row r="16" spans="1:1" ht="26" customHeight="1" x14ac:dyDescent="0.25">
      <c r="A16" s="6" t="s">
        <v>11</v>
      </c>
    </row>
    <row r="17" spans="1:1" ht="40" customHeight="1" x14ac:dyDescent="0.25">
      <c r="A17" s="6" t="s">
        <v>12</v>
      </c>
    </row>
    <row r="18" spans="1:1" ht="40" customHeight="1" x14ac:dyDescent="0.25">
      <c r="A18" s="6" t="s">
        <v>13</v>
      </c>
    </row>
    <row r="20" spans="1:1" ht="13" x14ac:dyDescent="0.25">
      <c r="A20" s="7" t="s">
        <v>14</v>
      </c>
    </row>
    <row r="21" spans="1:1" ht="26" customHeight="1" x14ac:dyDescent="0.25">
      <c r="A21" s="6" t="s">
        <v>15</v>
      </c>
    </row>
  </sheetData>
  <pageMargins left="0.5" right="0.5" top="0.6" bottom="0.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pane ySplit="3" topLeftCell="A4" activePane="bottomLeft" state="frozen"/>
      <selection pane="bottomLeft" activeCell="C21" sqref="C21"/>
    </sheetView>
  </sheetViews>
  <sheetFormatPr baseColWidth="10" defaultColWidth="8.7265625" defaultRowHeight="12.5" x14ac:dyDescent="0.25"/>
  <cols>
    <col min="1" max="1" width="42" customWidth="1"/>
    <col min="2" max="2" width="12" customWidth="1"/>
    <col min="3" max="3" width="16" customWidth="1"/>
    <col min="4" max="4" width="13" customWidth="1"/>
    <col min="5" max="5" width="70" customWidth="1"/>
  </cols>
  <sheetData>
    <row r="1" spans="1:5" ht="18" x14ac:dyDescent="0.25">
      <c r="A1" s="1" t="s">
        <v>16</v>
      </c>
    </row>
    <row r="2" spans="1:5" ht="24" x14ac:dyDescent="0.25">
      <c r="A2" s="5" t="s">
        <v>17</v>
      </c>
    </row>
    <row r="3" spans="1:5" ht="13" x14ac:dyDescent="0.25">
      <c r="A3" s="2" t="s">
        <v>18</v>
      </c>
      <c r="B3" s="2" t="s">
        <v>19</v>
      </c>
      <c r="C3" s="2" t="s">
        <v>20</v>
      </c>
      <c r="D3" s="2" t="s">
        <v>21</v>
      </c>
      <c r="E3" s="2" t="s">
        <v>22</v>
      </c>
    </row>
    <row r="4" spans="1:5" ht="26" customHeight="1" x14ac:dyDescent="0.25">
      <c r="A4" s="3" t="s">
        <v>23</v>
      </c>
      <c r="B4" s="9">
        <v>43</v>
      </c>
      <c r="C4" s="3" t="s">
        <v>24</v>
      </c>
      <c r="D4" s="14" t="s">
        <v>25</v>
      </c>
      <c r="E4" s="3" t="s">
        <v>26</v>
      </c>
    </row>
    <row r="5" spans="1:5" ht="26" customHeight="1" x14ac:dyDescent="0.25">
      <c r="A5" s="3" t="s">
        <v>27</v>
      </c>
      <c r="B5" s="9">
        <v>54</v>
      </c>
      <c r="C5" s="3" t="s">
        <v>24</v>
      </c>
      <c r="D5" s="14" t="s">
        <v>25</v>
      </c>
      <c r="E5" s="3" t="s">
        <v>28</v>
      </c>
    </row>
    <row r="6" spans="1:5" ht="38" customHeight="1" x14ac:dyDescent="0.25">
      <c r="A6" s="3" t="s">
        <v>29</v>
      </c>
      <c r="B6" s="10">
        <v>1.01E-3</v>
      </c>
      <c r="C6" s="3" t="s">
        <v>30</v>
      </c>
      <c r="D6" s="14" t="s">
        <v>31</v>
      </c>
      <c r="E6" s="3" t="s">
        <v>145</v>
      </c>
    </row>
    <row r="7" spans="1:5" ht="26" customHeight="1" x14ac:dyDescent="0.25">
      <c r="A7" s="3" t="s">
        <v>32</v>
      </c>
      <c r="B7" s="10">
        <v>0.92</v>
      </c>
      <c r="C7" s="3" t="s">
        <v>33</v>
      </c>
      <c r="D7" s="14" t="s">
        <v>25</v>
      </c>
      <c r="E7" s="3" t="s">
        <v>34</v>
      </c>
    </row>
    <row r="8" spans="1:5" ht="26" customHeight="1" x14ac:dyDescent="0.25">
      <c r="A8" s="3" t="s">
        <v>35</v>
      </c>
      <c r="B8" s="12">
        <v>80</v>
      </c>
      <c r="C8" s="3" t="s">
        <v>36</v>
      </c>
      <c r="D8" s="14" t="s">
        <v>25</v>
      </c>
      <c r="E8" s="3" t="s">
        <v>146</v>
      </c>
    </row>
    <row r="9" spans="1:5" ht="38" customHeight="1" x14ac:dyDescent="0.25">
      <c r="A9" s="3" t="s">
        <v>37</v>
      </c>
      <c r="B9" s="9">
        <v>2.2999999999999998</v>
      </c>
      <c r="C9" s="3" t="s">
        <v>38</v>
      </c>
      <c r="D9" s="14" t="s">
        <v>25</v>
      </c>
      <c r="E9" s="3" t="s">
        <v>147</v>
      </c>
    </row>
    <row r="10" spans="1:5" x14ac:dyDescent="0.25">
      <c r="A10" s="3" t="s">
        <v>39</v>
      </c>
      <c r="B10" s="9">
        <v>80</v>
      </c>
      <c r="C10" s="3" t="s">
        <v>38</v>
      </c>
      <c r="D10" s="14" t="s">
        <v>25</v>
      </c>
      <c r="E10" s="3" t="s">
        <v>40</v>
      </c>
    </row>
    <row r="11" spans="1:5" x14ac:dyDescent="0.25">
      <c r="A11" s="3" t="s">
        <v>41</v>
      </c>
      <c r="B11" s="9">
        <v>5</v>
      </c>
      <c r="C11" s="3" t="s">
        <v>42</v>
      </c>
      <c r="D11" s="14" t="s">
        <v>25</v>
      </c>
      <c r="E11" s="3" t="s">
        <v>43</v>
      </c>
    </row>
    <row r="12" spans="1:5" ht="26" customHeight="1" x14ac:dyDescent="0.25">
      <c r="A12" s="3" t="s">
        <v>44</v>
      </c>
      <c r="B12" s="19">
        <f>AVERAGE(B4:B5)</f>
        <v>48.5</v>
      </c>
      <c r="C12" s="3" t="s">
        <v>24</v>
      </c>
      <c r="D12" s="3" t="s">
        <v>45</v>
      </c>
      <c r="E12" s="3" t="s">
        <v>46</v>
      </c>
    </row>
    <row r="13" spans="1:5" ht="26" customHeight="1" x14ac:dyDescent="0.25">
      <c r="A13" s="3" t="s">
        <v>47</v>
      </c>
      <c r="B13" s="11">
        <v>0.5</v>
      </c>
      <c r="C13" s="3" t="s">
        <v>48</v>
      </c>
      <c r="D13" s="14" t="s">
        <v>49</v>
      </c>
      <c r="E13" s="3" t="s">
        <v>50</v>
      </c>
    </row>
    <row r="14" spans="1:5" x14ac:dyDescent="0.25">
      <c r="A14" s="3" t="s">
        <v>51</v>
      </c>
      <c r="B14" s="9">
        <v>3</v>
      </c>
      <c r="C14" s="3" t="s">
        <v>52</v>
      </c>
      <c r="D14" s="14" t="s">
        <v>49</v>
      </c>
      <c r="E14" s="3" t="s">
        <v>53</v>
      </c>
    </row>
  </sheetData>
  <pageMargins left="0.5" right="0.5" top="0.6" bottom="0.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
  <sheetViews>
    <sheetView tabSelected="1" topLeftCell="B1" workbookViewId="0">
      <pane ySplit="5" topLeftCell="A10" activePane="bottomLeft" state="frozen"/>
      <selection pane="bottomLeft" activeCell="L16" sqref="L16"/>
    </sheetView>
  </sheetViews>
  <sheetFormatPr baseColWidth="10" defaultColWidth="8.7265625" defaultRowHeight="12.5" x14ac:dyDescent="0.25"/>
  <cols>
    <col min="1" max="1" width="9" customWidth="1"/>
    <col min="2" max="2" width="30" customWidth="1"/>
    <col min="3" max="3" width="24" customWidth="1"/>
    <col min="4" max="6" width="13" customWidth="1"/>
    <col min="7" max="7" width="15" customWidth="1"/>
    <col min="8" max="9" width="12" customWidth="1"/>
    <col min="10" max="11" width="17" customWidth="1"/>
    <col min="12" max="12" width="13" customWidth="1"/>
    <col min="13" max="13" width="30" customWidth="1"/>
    <col min="14" max="14" width="11" customWidth="1"/>
  </cols>
  <sheetData>
    <row r="1" spans="1:14" ht="18" x14ac:dyDescent="0.25">
      <c r="A1" s="1" t="s">
        <v>54</v>
      </c>
    </row>
    <row r="2" spans="1:14" ht="26" customHeight="1" x14ac:dyDescent="0.25">
      <c r="A2" s="5" t="s">
        <v>55</v>
      </c>
    </row>
    <row r="3" spans="1:14" ht="13" x14ac:dyDescent="0.25">
      <c r="A3" s="35" t="s">
        <v>143</v>
      </c>
    </row>
    <row r="4" spans="1:14" ht="13" x14ac:dyDescent="0.25">
      <c r="A4" s="35" t="s">
        <v>150</v>
      </c>
    </row>
    <row r="5" spans="1:14" ht="40" customHeight="1" x14ac:dyDescent="0.25">
      <c r="A5" s="2" t="s">
        <v>56</v>
      </c>
      <c r="B5" s="2" t="s">
        <v>57</v>
      </c>
      <c r="C5" s="2" t="s">
        <v>58</v>
      </c>
      <c r="D5" s="2" t="s">
        <v>140</v>
      </c>
      <c r="E5" s="2" t="s">
        <v>141</v>
      </c>
      <c r="F5" s="2" t="s">
        <v>59</v>
      </c>
      <c r="G5" s="2" t="s">
        <v>142</v>
      </c>
      <c r="H5" s="2" t="s">
        <v>60</v>
      </c>
      <c r="I5" s="2" t="s">
        <v>61</v>
      </c>
      <c r="J5" s="2" t="s">
        <v>148</v>
      </c>
      <c r="K5" s="2" t="s">
        <v>149</v>
      </c>
      <c r="L5" s="2" t="s">
        <v>62</v>
      </c>
      <c r="M5" s="2" t="s">
        <v>63</v>
      </c>
      <c r="N5" s="2" t="s">
        <v>64</v>
      </c>
    </row>
    <row r="6" spans="1:14" x14ac:dyDescent="0.25">
      <c r="A6" s="30" t="s">
        <v>65</v>
      </c>
      <c r="B6" s="30" t="s">
        <v>66</v>
      </c>
      <c r="C6" s="30" t="s">
        <v>67</v>
      </c>
      <c r="D6" s="31">
        <v>12</v>
      </c>
      <c r="E6" s="31">
        <v>15</v>
      </c>
      <c r="F6" s="31">
        <f t="shared" ref="F6:F26" si="0">IF(COUNT(D6:E6)=0,"",AVERAGE(D6:E6))</f>
        <v>13.5</v>
      </c>
      <c r="G6" s="31">
        <v>3</v>
      </c>
      <c r="H6" s="31">
        <f t="shared" ref="H6:H26" si="1">IF(N6=1,F6-G6,"")</f>
        <v>10.5</v>
      </c>
      <c r="I6" s="32">
        <f t="shared" ref="I6:I26" si="2">IF(N6=1,IF(F6=0,"",H6/F6),"")</f>
        <v>0.77777777777777779</v>
      </c>
      <c r="J6" s="33">
        <v>46318.451388888891</v>
      </c>
      <c r="K6" s="33">
        <v>46318.472222222219</v>
      </c>
      <c r="L6" s="31">
        <f t="shared" ref="L6:L26" si="3">IF(AND(ISNUMBER(J6),ISNUMBER(K6)),(K6-J6)*24,"")</f>
        <v>0.49999999988358468</v>
      </c>
      <c r="M6" s="30" t="s">
        <v>68</v>
      </c>
      <c r="N6" s="34">
        <f t="shared" ref="N6:N26" si="4">IF(AND(ISNUMBER(F6),ISNUMBER(G6)),1,0)</f>
        <v>1</v>
      </c>
    </row>
    <row r="7" spans="1:14" x14ac:dyDescent="0.25">
      <c r="A7" s="3" t="s">
        <v>69</v>
      </c>
      <c r="B7" s="3" t="s">
        <v>70</v>
      </c>
      <c r="C7" s="3" t="s">
        <v>71</v>
      </c>
      <c r="D7" s="8">
        <v>9</v>
      </c>
      <c r="E7" s="8">
        <v>9</v>
      </c>
      <c r="F7" s="15">
        <f t="shared" si="0"/>
        <v>9</v>
      </c>
      <c r="G7" s="8">
        <v>2</v>
      </c>
      <c r="H7" s="15">
        <f t="shared" si="1"/>
        <v>7</v>
      </c>
      <c r="I7" s="16">
        <f t="shared" si="2"/>
        <v>0.77777777777777779</v>
      </c>
      <c r="J7" s="13" t="s">
        <v>152</v>
      </c>
      <c r="K7" s="13"/>
      <c r="L7" s="15" t="str">
        <f t="shared" si="3"/>
        <v/>
      </c>
      <c r="M7" s="14" t="s">
        <v>31</v>
      </c>
      <c r="N7" s="20">
        <f t="shared" si="4"/>
        <v>1</v>
      </c>
    </row>
    <row r="8" spans="1:14" ht="25" x14ac:dyDescent="0.25">
      <c r="A8" s="3" t="s">
        <v>72</v>
      </c>
      <c r="B8" s="3" t="s">
        <v>70</v>
      </c>
      <c r="C8" s="3" t="s">
        <v>73</v>
      </c>
      <c r="D8" s="8">
        <v>18.5</v>
      </c>
      <c r="E8" s="8">
        <v>20.5</v>
      </c>
      <c r="F8" s="15">
        <f t="shared" si="0"/>
        <v>19.5</v>
      </c>
      <c r="G8" s="8">
        <v>4.5</v>
      </c>
      <c r="H8" s="15">
        <f t="shared" si="1"/>
        <v>15</v>
      </c>
      <c r="I8" s="16">
        <f t="shared" si="2"/>
        <v>0.76923076923076927</v>
      </c>
      <c r="J8" s="13" t="s">
        <v>152</v>
      </c>
      <c r="K8" s="13"/>
      <c r="L8" s="15" t="str">
        <f t="shared" si="3"/>
        <v/>
      </c>
      <c r="M8" s="14" t="s">
        <v>144</v>
      </c>
      <c r="N8" s="20">
        <f t="shared" si="4"/>
        <v>1</v>
      </c>
    </row>
    <row r="9" spans="1:14" ht="25" x14ac:dyDescent="0.25">
      <c r="A9" s="3" t="s">
        <v>74</v>
      </c>
      <c r="B9" s="3" t="s">
        <v>70</v>
      </c>
      <c r="C9" s="3" t="s">
        <v>75</v>
      </c>
      <c r="D9" s="8">
        <v>10</v>
      </c>
      <c r="E9" s="8">
        <v>9.5</v>
      </c>
      <c r="F9" s="15">
        <f t="shared" si="0"/>
        <v>9.75</v>
      </c>
      <c r="G9" s="8">
        <v>2.5</v>
      </c>
      <c r="H9" s="15">
        <f t="shared" si="1"/>
        <v>7.25</v>
      </c>
      <c r="I9" s="16">
        <f t="shared" si="2"/>
        <v>0.74358974358974361</v>
      </c>
      <c r="J9" s="13" t="s">
        <v>152</v>
      </c>
      <c r="K9" s="13"/>
      <c r="L9" s="15" t="str">
        <f t="shared" si="3"/>
        <v/>
      </c>
      <c r="M9" s="14" t="s">
        <v>144</v>
      </c>
      <c r="N9" s="20">
        <f t="shared" si="4"/>
        <v>1</v>
      </c>
    </row>
    <row r="10" spans="1:14" x14ac:dyDescent="0.25">
      <c r="A10" s="3" t="s">
        <v>76</v>
      </c>
      <c r="B10" s="3" t="s">
        <v>70</v>
      </c>
      <c r="C10" s="3" t="s">
        <v>77</v>
      </c>
      <c r="D10" s="8">
        <v>14.5</v>
      </c>
      <c r="E10" s="8">
        <v>16.5</v>
      </c>
      <c r="F10" s="15">
        <f t="shared" si="0"/>
        <v>15.5</v>
      </c>
      <c r="G10" s="8">
        <v>3.5</v>
      </c>
      <c r="H10" s="15">
        <f t="shared" si="1"/>
        <v>12</v>
      </c>
      <c r="I10" s="16">
        <f t="shared" si="2"/>
        <v>0.77419354838709675</v>
      </c>
      <c r="J10" s="13" t="s">
        <v>152</v>
      </c>
      <c r="K10" s="13"/>
      <c r="L10" s="15" t="str">
        <f t="shared" si="3"/>
        <v/>
      </c>
      <c r="M10" s="14" t="s">
        <v>31</v>
      </c>
      <c r="N10" s="20">
        <f t="shared" si="4"/>
        <v>1</v>
      </c>
    </row>
    <row r="11" spans="1:14" ht="25" x14ac:dyDescent="0.25">
      <c r="A11" s="3" t="s">
        <v>78</v>
      </c>
      <c r="B11" s="3" t="s">
        <v>79</v>
      </c>
      <c r="C11" s="3" t="s">
        <v>80</v>
      </c>
      <c r="D11" s="8">
        <v>27</v>
      </c>
      <c r="E11" s="8">
        <v>32</v>
      </c>
      <c r="F11" s="15">
        <f t="shared" si="0"/>
        <v>29.5</v>
      </c>
      <c r="G11" s="8">
        <v>5.5</v>
      </c>
      <c r="H11" s="15">
        <f t="shared" si="1"/>
        <v>24</v>
      </c>
      <c r="I11" s="16">
        <f t="shared" si="2"/>
        <v>0.81355932203389836</v>
      </c>
      <c r="J11" s="13" t="s">
        <v>152</v>
      </c>
      <c r="K11" s="13"/>
      <c r="L11" s="15" t="str">
        <f t="shared" si="3"/>
        <v/>
      </c>
      <c r="M11" s="14" t="s">
        <v>144</v>
      </c>
      <c r="N11" s="20">
        <f t="shared" si="4"/>
        <v>1</v>
      </c>
    </row>
    <row r="12" spans="1:14" ht="25" x14ac:dyDescent="0.25">
      <c r="A12" s="3" t="s">
        <v>81</v>
      </c>
      <c r="B12" s="3" t="s">
        <v>79</v>
      </c>
      <c r="C12" s="3" t="s">
        <v>73</v>
      </c>
      <c r="D12" s="8">
        <v>17</v>
      </c>
      <c r="E12" s="8">
        <v>19</v>
      </c>
      <c r="F12" s="15">
        <f t="shared" si="0"/>
        <v>18</v>
      </c>
      <c r="G12" s="8">
        <v>4.5</v>
      </c>
      <c r="H12" s="15">
        <f t="shared" si="1"/>
        <v>13.5</v>
      </c>
      <c r="I12" s="16">
        <f t="shared" si="2"/>
        <v>0.75</v>
      </c>
      <c r="J12" s="13" t="s">
        <v>152</v>
      </c>
      <c r="K12" s="13"/>
      <c r="L12" s="15" t="str">
        <f t="shared" si="3"/>
        <v/>
      </c>
      <c r="M12" s="14" t="s">
        <v>144</v>
      </c>
      <c r="N12" s="20">
        <f t="shared" si="4"/>
        <v>1</v>
      </c>
    </row>
    <row r="13" spans="1:14" ht="25" x14ac:dyDescent="0.25">
      <c r="A13" s="3" t="s">
        <v>82</v>
      </c>
      <c r="B13" s="3" t="s">
        <v>79</v>
      </c>
      <c r="C13" s="3" t="s">
        <v>71</v>
      </c>
      <c r="D13" s="8">
        <v>11</v>
      </c>
      <c r="E13" s="8">
        <v>12</v>
      </c>
      <c r="F13" s="15">
        <f t="shared" si="0"/>
        <v>11.5</v>
      </c>
      <c r="G13" s="8">
        <v>2</v>
      </c>
      <c r="H13" s="15">
        <f t="shared" si="1"/>
        <v>9.5</v>
      </c>
      <c r="I13" s="16">
        <f t="shared" si="2"/>
        <v>0.82608695652173914</v>
      </c>
      <c r="J13" s="13" t="s">
        <v>152</v>
      </c>
      <c r="K13" s="13"/>
      <c r="L13" s="15" t="str">
        <f t="shared" si="3"/>
        <v/>
      </c>
      <c r="M13" s="14" t="s">
        <v>144</v>
      </c>
      <c r="N13" s="20">
        <f t="shared" si="4"/>
        <v>1</v>
      </c>
    </row>
    <row r="14" spans="1:14" ht="25" x14ac:dyDescent="0.25">
      <c r="A14" s="3" t="s">
        <v>83</v>
      </c>
      <c r="B14" s="3" t="s">
        <v>79</v>
      </c>
      <c r="C14" s="3" t="s">
        <v>84</v>
      </c>
      <c r="D14" s="8">
        <v>25.5</v>
      </c>
      <c r="E14" s="8">
        <v>28.5</v>
      </c>
      <c r="F14" s="15">
        <f t="shared" si="0"/>
        <v>27</v>
      </c>
      <c r="G14" s="8">
        <v>5.5</v>
      </c>
      <c r="H14" s="15">
        <f t="shared" si="1"/>
        <v>21.5</v>
      </c>
      <c r="I14" s="16">
        <f t="shared" si="2"/>
        <v>0.79629629629629628</v>
      </c>
      <c r="J14" s="13" t="s">
        <v>152</v>
      </c>
      <c r="K14" s="13"/>
      <c r="L14" s="15" t="str">
        <f t="shared" si="3"/>
        <v/>
      </c>
      <c r="M14" s="14" t="s">
        <v>144</v>
      </c>
      <c r="N14" s="20">
        <f t="shared" si="4"/>
        <v>1</v>
      </c>
    </row>
    <row r="15" spans="1:14" x14ac:dyDescent="0.25">
      <c r="A15" s="3" t="s">
        <v>85</v>
      </c>
      <c r="B15" s="3" t="s">
        <v>86</v>
      </c>
      <c r="C15" s="3" t="s">
        <v>87</v>
      </c>
      <c r="D15" s="8">
        <v>8.5</v>
      </c>
      <c r="E15" s="8">
        <v>8</v>
      </c>
      <c r="F15" s="15">
        <f t="shared" si="0"/>
        <v>8.25</v>
      </c>
      <c r="G15" s="8">
        <v>2.5</v>
      </c>
      <c r="H15" s="15">
        <f t="shared" si="1"/>
        <v>5.75</v>
      </c>
      <c r="I15" s="16">
        <f t="shared" si="2"/>
        <v>0.69696969696969702</v>
      </c>
      <c r="J15" s="13" t="s">
        <v>152</v>
      </c>
      <c r="K15" s="13"/>
      <c r="L15" s="15" t="str">
        <f t="shared" si="3"/>
        <v/>
      </c>
      <c r="M15" s="14" t="s">
        <v>31</v>
      </c>
      <c r="N15" s="20">
        <f t="shared" si="4"/>
        <v>1</v>
      </c>
    </row>
    <row r="16" spans="1:14" ht="25" x14ac:dyDescent="0.25">
      <c r="A16" s="3" t="s">
        <v>88</v>
      </c>
      <c r="B16" s="3" t="s">
        <v>86</v>
      </c>
      <c r="C16" s="3" t="s">
        <v>73</v>
      </c>
      <c r="D16" s="8">
        <v>20.5</v>
      </c>
      <c r="E16" s="8">
        <v>22</v>
      </c>
      <c r="F16" s="15">
        <f t="shared" si="0"/>
        <v>21.25</v>
      </c>
      <c r="G16" s="8">
        <v>4</v>
      </c>
      <c r="H16" s="15">
        <f t="shared" si="1"/>
        <v>17.25</v>
      </c>
      <c r="I16" s="16">
        <f t="shared" si="2"/>
        <v>0.81176470588235294</v>
      </c>
      <c r="J16" s="13" t="s">
        <v>152</v>
      </c>
      <c r="K16" s="13"/>
      <c r="L16" s="15" t="str">
        <f t="shared" si="3"/>
        <v/>
      </c>
      <c r="M16" s="14" t="s">
        <v>144</v>
      </c>
      <c r="N16" s="20">
        <f t="shared" si="4"/>
        <v>1</v>
      </c>
    </row>
    <row r="17" spans="1:14" ht="25" x14ac:dyDescent="0.25">
      <c r="A17" s="3" t="s">
        <v>89</v>
      </c>
      <c r="B17" s="3" t="s">
        <v>86</v>
      </c>
      <c r="C17" s="3" t="s">
        <v>90</v>
      </c>
      <c r="D17" s="8">
        <v>20.5</v>
      </c>
      <c r="E17" s="8">
        <v>23.5</v>
      </c>
      <c r="F17" s="15">
        <f t="shared" si="0"/>
        <v>22</v>
      </c>
      <c r="G17" s="8">
        <v>5</v>
      </c>
      <c r="H17" s="15">
        <f t="shared" si="1"/>
        <v>17</v>
      </c>
      <c r="I17" s="16">
        <f t="shared" si="2"/>
        <v>0.77272727272727271</v>
      </c>
      <c r="J17" s="13" t="s">
        <v>152</v>
      </c>
      <c r="K17" s="13"/>
      <c r="L17" s="15" t="str">
        <f t="shared" si="3"/>
        <v/>
      </c>
      <c r="M17" s="14" t="s">
        <v>144</v>
      </c>
      <c r="N17" s="20">
        <f t="shared" si="4"/>
        <v>1</v>
      </c>
    </row>
    <row r="18" spans="1:14" ht="25" x14ac:dyDescent="0.25">
      <c r="A18" s="3" t="s">
        <v>91</v>
      </c>
      <c r="B18" s="3" t="s">
        <v>86</v>
      </c>
      <c r="C18" s="3" t="s">
        <v>92</v>
      </c>
      <c r="D18" s="8">
        <v>24</v>
      </c>
      <c r="E18" s="8">
        <v>28</v>
      </c>
      <c r="F18" s="15">
        <f t="shared" si="0"/>
        <v>26</v>
      </c>
      <c r="G18" s="8">
        <v>6</v>
      </c>
      <c r="H18" s="15">
        <f t="shared" si="1"/>
        <v>20</v>
      </c>
      <c r="I18" s="16">
        <f t="shared" si="2"/>
        <v>0.76923076923076927</v>
      </c>
      <c r="J18" s="13" t="s">
        <v>152</v>
      </c>
      <c r="K18" s="13"/>
      <c r="L18" s="15" t="str">
        <f t="shared" si="3"/>
        <v/>
      </c>
      <c r="M18" s="14" t="s">
        <v>144</v>
      </c>
      <c r="N18" s="20">
        <f t="shared" si="4"/>
        <v>1</v>
      </c>
    </row>
    <row r="19" spans="1:14" x14ac:dyDescent="0.25">
      <c r="A19" s="3" t="s">
        <v>93</v>
      </c>
      <c r="B19" s="3" t="s">
        <v>94</v>
      </c>
      <c r="C19" s="3" t="s">
        <v>71</v>
      </c>
      <c r="D19" s="8">
        <v>10.5</v>
      </c>
      <c r="E19" s="8">
        <v>10.5</v>
      </c>
      <c r="F19" s="15">
        <f t="shared" si="0"/>
        <v>10.5</v>
      </c>
      <c r="G19" s="8">
        <v>2</v>
      </c>
      <c r="H19" s="15">
        <f t="shared" si="1"/>
        <v>8.5</v>
      </c>
      <c r="I19" s="16">
        <f t="shared" si="2"/>
        <v>0.80952380952380953</v>
      </c>
      <c r="J19" s="13" t="s">
        <v>152</v>
      </c>
      <c r="K19" s="13"/>
      <c r="L19" s="15" t="str">
        <f t="shared" si="3"/>
        <v/>
      </c>
      <c r="M19" s="14" t="s">
        <v>31</v>
      </c>
      <c r="N19" s="20">
        <f t="shared" si="4"/>
        <v>1</v>
      </c>
    </row>
    <row r="20" spans="1:14" ht="25" x14ac:dyDescent="0.25">
      <c r="A20" s="3" t="s">
        <v>95</v>
      </c>
      <c r="B20" s="3" t="s">
        <v>94</v>
      </c>
      <c r="C20" s="3" t="s">
        <v>80</v>
      </c>
      <c r="D20" s="8">
        <v>26</v>
      </c>
      <c r="E20" s="8">
        <v>31</v>
      </c>
      <c r="F20" s="15">
        <f t="shared" si="0"/>
        <v>28.5</v>
      </c>
      <c r="G20" s="8">
        <v>5.5</v>
      </c>
      <c r="H20" s="15">
        <f t="shared" si="1"/>
        <v>23</v>
      </c>
      <c r="I20" s="16">
        <f t="shared" si="2"/>
        <v>0.80701754385964908</v>
      </c>
      <c r="J20" s="13" t="s">
        <v>152</v>
      </c>
      <c r="K20" s="13"/>
      <c r="L20" s="15" t="str">
        <f t="shared" si="3"/>
        <v/>
      </c>
      <c r="M20" s="14" t="s">
        <v>144</v>
      </c>
      <c r="N20" s="20">
        <f t="shared" si="4"/>
        <v>1</v>
      </c>
    </row>
    <row r="21" spans="1:14" ht="25" x14ac:dyDescent="0.25">
      <c r="A21" s="3" t="s">
        <v>96</v>
      </c>
      <c r="B21" s="3" t="s">
        <v>94</v>
      </c>
      <c r="C21" s="3" t="s">
        <v>97</v>
      </c>
      <c r="D21" s="8">
        <v>8.5</v>
      </c>
      <c r="E21" s="8">
        <v>8</v>
      </c>
      <c r="F21" s="15">
        <f t="shared" si="0"/>
        <v>8.25</v>
      </c>
      <c r="G21" s="8">
        <v>2.5</v>
      </c>
      <c r="H21" s="15">
        <f t="shared" si="1"/>
        <v>5.75</v>
      </c>
      <c r="I21" s="16">
        <f t="shared" si="2"/>
        <v>0.69696969696969702</v>
      </c>
      <c r="J21" s="13" t="s">
        <v>152</v>
      </c>
      <c r="K21" s="13"/>
      <c r="L21" s="15" t="str">
        <f t="shared" si="3"/>
        <v/>
      </c>
      <c r="M21" s="14" t="s">
        <v>144</v>
      </c>
      <c r="N21" s="20">
        <f t="shared" si="4"/>
        <v>1</v>
      </c>
    </row>
    <row r="22" spans="1:14" ht="25" x14ac:dyDescent="0.25">
      <c r="A22" s="3" t="s">
        <v>98</v>
      </c>
      <c r="B22" s="3" t="s">
        <v>94</v>
      </c>
      <c r="C22" s="3" t="s">
        <v>99</v>
      </c>
      <c r="D22" s="8">
        <v>16</v>
      </c>
      <c r="E22" s="8">
        <v>17.5</v>
      </c>
      <c r="F22" s="15">
        <f t="shared" si="0"/>
        <v>16.75</v>
      </c>
      <c r="G22" s="8">
        <v>5</v>
      </c>
      <c r="H22" s="15">
        <f t="shared" si="1"/>
        <v>11.75</v>
      </c>
      <c r="I22" s="16">
        <f t="shared" si="2"/>
        <v>0.70149253731343286</v>
      </c>
      <c r="J22" s="13" t="s">
        <v>152</v>
      </c>
      <c r="K22" s="13"/>
      <c r="L22" s="15" t="str">
        <f t="shared" si="3"/>
        <v/>
      </c>
      <c r="M22" s="14" t="s">
        <v>144</v>
      </c>
      <c r="N22" s="20">
        <f t="shared" si="4"/>
        <v>1</v>
      </c>
    </row>
    <row r="23" spans="1:14" ht="25" x14ac:dyDescent="0.25">
      <c r="A23" s="3" t="s">
        <v>100</v>
      </c>
      <c r="B23" s="3" t="s">
        <v>101</v>
      </c>
      <c r="C23" s="3" t="s">
        <v>102</v>
      </c>
      <c r="D23" s="8">
        <v>23</v>
      </c>
      <c r="E23" s="8">
        <v>27.5</v>
      </c>
      <c r="F23" s="15">
        <f t="shared" si="0"/>
        <v>25.25</v>
      </c>
      <c r="G23" s="8">
        <v>5.5</v>
      </c>
      <c r="H23" s="15">
        <f t="shared" si="1"/>
        <v>19.75</v>
      </c>
      <c r="I23" s="16">
        <f t="shared" si="2"/>
        <v>0.78217821782178221</v>
      </c>
      <c r="J23" s="13" t="s">
        <v>152</v>
      </c>
      <c r="K23" s="13"/>
      <c r="L23" s="15" t="str">
        <f t="shared" si="3"/>
        <v/>
      </c>
      <c r="M23" s="14" t="s">
        <v>144</v>
      </c>
      <c r="N23" s="20">
        <f t="shared" si="4"/>
        <v>1</v>
      </c>
    </row>
    <row r="24" spans="1:14" ht="25" x14ac:dyDescent="0.25">
      <c r="A24" s="3" t="s">
        <v>103</v>
      </c>
      <c r="B24" s="3" t="s">
        <v>101</v>
      </c>
      <c r="C24" s="3" t="s">
        <v>73</v>
      </c>
      <c r="D24" s="8">
        <v>14.5</v>
      </c>
      <c r="E24" s="8">
        <v>15</v>
      </c>
      <c r="F24" s="15">
        <f t="shared" si="0"/>
        <v>14.75</v>
      </c>
      <c r="G24" s="8">
        <v>4</v>
      </c>
      <c r="H24" s="15">
        <f t="shared" si="1"/>
        <v>10.75</v>
      </c>
      <c r="I24" s="16">
        <f t="shared" si="2"/>
        <v>0.72881355932203384</v>
      </c>
      <c r="J24" s="13" t="s">
        <v>152</v>
      </c>
      <c r="K24" s="13"/>
      <c r="L24" s="15" t="str">
        <f t="shared" si="3"/>
        <v/>
      </c>
      <c r="M24" s="14" t="s">
        <v>144</v>
      </c>
      <c r="N24" s="20">
        <f t="shared" si="4"/>
        <v>1</v>
      </c>
    </row>
    <row r="25" spans="1:14" ht="25" x14ac:dyDescent="0.25">
      <c r="A25" s="3" t="s">
        <v>104</v>
      </c>
      <c r="B25" s="3" t="s">
        <v>101</v>
      </c>
      <c r="C25" s="3" t="s">
        <v>80</v>
      </c>
      <c r="D25" s="8">
        <v>24.5</v>
      </c>
      <c r="E25" s="8">
        <v>29</v>
      </c>
      <c r="F25" s="15">
        <f t="shared" si="0"/>
        <v>26.75</v>
      </c>
      <c r="G25" s="8">
        <v>5.5</v>
      </c>
      <c r="H25" s="15">
        <f t="shared" si="1"/>
        <v>21.25</v>
      </c>
      <c r="I25" s="16">
        <f t="shared" si="2"/>
        <v>0.79439252336448596</v>
      </c>
      <c r="J25" s="13" t="s">
        <v>152</v>
      </c>
      <c r="K25" s="13"/>
      <c r="L25" s="15" t="str">
        <f t="shared" si="3"/>
        <v/>
      </c>
      <c r="M25" s="14" t="s">
        <v>144</v>
      </c>
      <c r="N25" s="20">
        <f t="shared" si="4"/>
        <v>1</v>
      </c>
    </row>
    <row r="26" spans="1:14" ht="25" x14ac:dyDescent="0.25">
      <c r="A26" s="3" t="s">
        <v>105</v>
      </c>
      <c r="B26" s="3" t="s">
        <v>101</v>
      </c>
      <c r="C26" s="3" t="s">
        <v>77</v>
      </c>
      <c r="D26" s="8">
        <v>11</v>
      </c>
      <c r="E26" s="8">
        <v>13</v>
      </c>
      <c r="F26" s="15">
        <f t="shared" si="0"/>
        <v>12</v>
      </c>
      <c r="G26" s="8">
        <v>2.5</v>
      </c>
      <c r="H26" s="15">
        <f t="shared" si="1"/>
        <v>9.5</v>
      </c>
      <c r="I26" s="16">
        <f t="shared" si="2"/>
        <v>0.79166666666666663</v>
      </c>
      <c r="J26" s="13" t="s">
        <v>152</v>
      </c>
      <c r="K26" s="13"/>
      <c r="L26" s="15" t="str">
        <f t="shared" si="3"/>
        <v/>
      </c>
      <c r="M26" s="14" t="s">
        <v>144</v>
      </c>
      <c r="N26" s="20">
        <f t="shared" si="4"/>
        <v>1</v>
      </c>
    </row>
    <row r="28" spans="1:14" ht="78" x14ac:dyDescent="0.25">
      <c r="A28" s="4" t="s">
        <v>106</v>
      </c>
      <c r="F28" s="22">
        <f>IF(SUM(N7:N26)=0,"",SUMPRODUCT(N7:N26,F7:F26)/SUM(N7:N26))</f>
        <v>18</v>
      </c>
      <c r="G28" s="22">
        <f>IF(SUM(N7:N26)=0,"",SUMPRODUCT(N7:N26,G7:G26)/SUM(N7:N26))</f>
        <v>4</v>
      </c>
      <c r="H28" s="22">
        <f>IF(F28="","",F28-G28)</f>
        <v>14</v>
      </c>
      <c r="I28" s="23">
        <f>IF(OR(F28="",F28=0),"",H28/F28)</f>
        <v>0.77777777777777779</v>
      </c>
      <c r="L28" s="22" t="str">
        <f>IFERROR(AVERAGE(L7:L26),"")</f>
        <v/>
      </c>
    </row>
    <row r="29" spans="1:14" ht="62.5" x14ac:dyDescent="0.25">
      <c r="A29" s="3" t="s">
        <v>107</v>
      </c>
      <c r="F29" s="24">
        <v>5</v>
      </c>
      <c r="K29" s="3" t="s">
        <v>108</v>
      </c>
      <c r="L29" s="24">
        <f>COUNT(L7:L26)</f>
        <v>0</v>
      </c>
    </row>
    <row r="30" spans="1:14" ht="26" customHeight="1" x14ac:dyDescent="0.25">
      <c r="A30" s="5" t="s">
        <v>109</v>
      </c>
    </row>
  </sheetData>
  <pageMargins left="0.5" right="0.5" top="0.6" bottom="0.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topLeftCell="A7" workbookViewId="0"/>
  </sheetViews>
  <sheetFormatPr baseColWidth="10" defaultColWidth="8.7265625" defaultRowHeight="12.5" x14ac:dyDescent="0.25"/>
  <cols>
    <col min="1" max="1" width="46" customWidth="1"/>
    <col min="2" max="3" width="18" customWidth="1"/>
    <col min="4" max="4" width="14" customWidth="1"/>
    <col min="5" max="6" width="10" customWidth="1"/>
  </cols>
  <sheetData>
    <row r="1" spans="1:6" ht="18" x14ac:dyDescent="0.25">
      <c r="A1" s="1" t="s">
        <v>110</v>
      </c>
    </row>
    <row r="2" spans="1:6" ht="24" x14ac:dyDescent="0.25">
      <c r="A2" s="5" t="s">
        <v>111</v>
      </c>
    </row>
    <row r="4" spans="1:6" ht="26" customHeight="1" x14ac:dyDescent="0.25">
      <c r="A4" s="2" t="s">
        <v>112</v>
      </c>
      <c r="B4" s="2" t="s">
        <v>113</v>
      </c>
      <c r="C4" s="2" t="s">
        <v>114</v>
      </c>
      <c r="D4" s="2" t="s">
        <v>115</v>
      </c>
      <c r="E4" s="2" t="s">
        <v>49</v>
      </c>
      <c r="F4" s="2" t="s">
        <v>116</v>
      </c>
    </row>
    <row r="5" spans="1:6" x14ac:dyDescent="0.25">
      <c r="A5" s="3" t="s">
        <v>117</v>
      </c>
      <c r="B5" s="25">
        <f>Stoppuhr!F28</f>
        <v>18</v>
      </c>
      <c r="C5" s="25">
        <f>Stoppuhr!G28</f>
        <v>4</v>
      </c>
      <c r="D5" s="15">
        <f>IF(OR(B5="",C5=""),"",B5-C5)</f>
        <v>14</v>
      </c>
    </row>
    <row r="6" spans="1:6" x14ac:dyDescent="0.25">
      <c r="A6" s="3" t="s">
        <v>118</v>
      </c>
      <c r="D6" s="16">
        <f>IF(OR(B5="",C5="",B5=0),"",D5/B5)</f>
        <v>0.77777777777777779</v>
      </c>
      <c r="E6" s="26">
        <f>Annahmen!B13</f>
        <v>0.5</v>
      </c>
      <c r="F6" s="21" t="str">
        <f>IF(D6="","",IF(D6&gt;=E6,"ja","nein"))</f>
        <v>ja</v>
      </c>
    </row>
    <row r="7" spans="1:6" x14ac:dyDescent="0.25">
      <c r="A7" s="3" t="s">
        <v>119</v>
      </c>
      <c r="B7" s="25">
        <f>IF(Annahmen!B9="","",Annahmen!B9)</f>
        <v>2.2999999999999998</v>
      </c>
      <c r="C7" s="25" t="str">
        <f>Stoppuhr!L28</f>
        <v/>
      </c>
      <c r="D7" s="15" t="str">
        <f>IF(OR(B7="",C7=""),"",B7-C7)</f>
        <v/>
      </c>
    </row>
    <row r="8" spans="1:6" ht="24" x14ac:dyDescent="0.25">
      <c r="A8" s="5" t="s">
        <v>120</v>
      </c>
    </row>
    <row r="10" spans="1:6" ht="26" customHeight="1" x14ac:dyDescent="0.25">
      <c r="A10" s="2" t="s">
        <v>121</v>
      </c>
      <c r="B10" s="2" t="s">
        <v>122</v>
      </c>
      <c r="C10" s="2" t="s">
        <v>123</v>
      </c>
      <c r="E10" s="2" t="s">
        <v>49</v>
      </c>
      <c r="F10" s="2" t="s">
        <v>116</v>
      </c>
    </row>
    <row r="11" spans="1:6" x14ac:dyDescent="0.25">
      <c r="A11" s="3" t="s">
        <v>124</v>
      </c>
      <c r="B11" s="17">
        <f>IF($B$5="","",$B$5/60*Annahmen!$B$4)</f>
        <v>12.9</v>
      </c>
      <c r="C11" s="17">
        <f>IF($B$5="","",$B$5/60*Annahmen!$B$5)</f>
        <v>16.2</v>
      </c>
    </row>
    <row r="12" spans="1:6" x14ac:dyDescent="0.25">
      <c r="A12" s="3" t="s">
        <v>125</v>
      </c>
      <c r="B12" s="17">
        <f>IF($C$5="","",$C$5/60*Annahmen!$B$4)</f>
        <v>2.8666666666666667</v>
      </c>
      <c r="C12" s="17">
        <f>IF($C$5="","",$C$5/60*Annahmen!$B$5)</f>
        <v>3.6</v>
      </c>
    </row>
    <row r="13" spans="1:6" x14ac:dyDescent="0.25">
      <c r="A13" s="3" t="s">
        <v>29</v>
      </c>
      <c r="B13" s="27">
        <f>Annahmen!$B$6*Annahmen!$B$7</f>
        <v>9.2920000000000003E-4</v>
      </c>
      <c r="C13" s="27">
        <f>Annahmen!$B$6*Annahmen!$B$7</f>
        <v>9.2920000000000003E-4</v>
      </c>
    </row>
    <row r="14" spans="1:6" ht="13" x14ac:dyDescent="0.25">
      <c r="A14" s="4" t="s">
        <v>126</v>
      </c>
      <c r="B14" s="17">
        <f>IF(OR(B11="",B12=""),"",B11-B12-B13)</f>
        <v>10.032404133333333</v>
      </c>
      <c r="C14" s="17">
        <f>IF(OR(C11="",C12=""),"",C11-C12-C13)</f>
        <v>12.5990708</v>
      </c>
    </row>
    <row r="15" spans="1:6" x14ac:dyDescent="0.25">
      <c r="A15" s="3" t="s">
        <v>127</v>
      </c>
      <c r="B15" s="19">
        <f>IF(OR(B14="",B13=0),"",B14/B13)</f>
        <v>10796.818912326014</v>
      </c>
      <c r="C15" s="19">
        <f>IF(OR(C14="",C13=0),"",C14/C13)</f>
        <v>13559.051657339647</v>
      </c>
      <c r="E15" s="29">
        <f>Annahmen!B14</f>
        <v>3</v>
      </c>
      <c r="F15" s="21" t="str">
        <f>IF(B15="","",IF(B15&gt;E15,"ja","nein"))</f>
        <v>ja</v>
      </c>
    </row>
    <row r="16" spans="1:6" x14ac:dyDescent="0.25">
      <c r="A16" s="3" t="s">
        <v>128</v>
      </c>
      <c r="B16" s="18">
        <f>IF(Annahmen!$B$4=0,"",(1+Annahmen!$B$14)*B13/(Annahmen!$B$4/3600))</f>
        <v>0.31117395348837207</v>
      </c>
      <c r="C16" s="18">
        <f>IF(Annahmen!$B$5=0,"",(1+Annahmen!$B$14)*C13/(Annahmen!$B$5/3600))</f>
        <v>0.24778666666666668</v>
      </c>
    </row>
    <row r="17" spans="1:3" ht="38" customHeight="1" x14ac:dyDescent="0.25">
      <c r="A17" s="5" t="s">
        <v>129</v>
      </c>
    </row>
    <row r="19" spans="1:3" ht="26" customHeight="1" x14ac:dyDescent="0.25">
      <c r="A19" s="2" t="s">
        <v>130</v>
      </c>
      <c r="B19" s="2" t="s">
        <v>122</v>
      </c>
      <c r="C19" s="2" t="s">
        <v>123</v>
      </c>
    </row>
    <row r="20" spans="1:3" x14ac:dyDescent="0.25">
      <c r="A20" s="3" t="s">
        <v>35</v>
      </c>
      <c r="B20" s="28">
        <f>IF(Annahmen!$B$8="","",Annahmen!$B$8)</f>
        <v>80</v>
      </c>
      <c r="C20" s="28">
        <f>IF(Annahmen!$B$8="","",Annahmen!$B$8)</f>
        <v>80</v>
      </c>
    </row>
    <row r="21" spans="1:3" x14ac:dyDescent="0.25">
      <c r="A21" s="3" t="s">
        <v>131</v>
      </c>
      <c r="B21" s="15">
        <f>IF(OR(B20="",$D$5=""),"",B20*$D$5/60)</f>
        <v>18.666666666666668</v>
      </c>
      <c r="C21" s="15">
        <f>IF(OR(C20="",$D$5=""),"",C20*$D$5/60)</f>
        <v>18.666666666666668</v>
      </c>
    </row>
    <row r="22" spans="1:3" x14ac:dyDescent="0.25">
      <c r="A22" s="3" t="s">
        <v>132</v>
      </c>
      <c r="B22" s="17">
        <f>IF(B21="","",B21*Annahmen!$B$4)</f>
        <v>802.66666666666674</v>
      </c>
      <c r="C22" s="17">
        <f>IF(C21="","",C21*Annahmen!$B$5)</f>
        <v>1008.0000000000001</v>
      </c>
    </row>
    <row r="23" spans="1:3" x14ac:dyDescent="0.25">
      <c r="A23" s="3" t="s">
        <v>133</v>
      </c>
      <c r="B23" s="17">
        <f>IF(B20="","",B20*B13)</f>
        <v>7.4335999999999999E-2</v>
      </c>
      <c r="C23" s="17">
        <f>IF(C20="","",C20*C13)</f>
        <v>7.4335999999999999E-2</v>
      </c>
    </row>
    <row r="24" spans="1:3" x14ac:dyDescent="0.25">
      <c r="A24" s="3" t="s">
        <v>134</v>
      </c>
      <c r="B24" s="17">
        <f>IF(Annahmen!$B$11="","",Annahmen!$B$11*Annahmen!$B$12)</f>
        <v>242.5</v>
      </c>
      <c r="C24" s="17">
        <f>IF(Annahmen!$B$11="","",Annahmen!$B$11*Annahmen!$B$12)</f>
        <v>242.5</v>
      </c>
    </row>
    <row r="25" spans="1:3" ht="13" x14ac:dyDescent="0.25">
      <c r="A25" s="4" t="s">
        <v>135</v>
      </c>
      <c r="B25" s="17">
        <f>IF(B22="","",B22-B23-IF(B24="",0,B24))</f>
        <v>560.09233066666673</v>
      </c>
      <c r="C25" s="17">
        <f>IF(C22="","",C22-C23-IF(C24="",0,C24))</f>
        <v>765.4256640000001</v>
      </c>
    </row>
    <row r="27" spans="1:3" ht="26" customHeight="1" x14ac:dyDescent="0.25">
      <c r="A27" s="2" t="s">
        <v>136</v>
      </c>
      <c r="B27" s="2" t="s">
        <v>122</v>
      </c>
      <c r="C27" s="2" t="s">
        <v>123</v>
      </c>
    </row>
    <row r="28" spans="1:3" x14ac:dyDescent="0.25">
      <c r="A28" s="3" t="s">
        <v>137</v>
      </c>
      <c r="B28" s="17">
        <f>IF(Annahmen!$B$10="","",Annahmen!$B$10*Annahmen!$B$12)</f>
        <v>3880</v>
      </c>
      <c r="C28" s="17">
        <f>IF(Annahmen!$B$10="","",Annahmen!$B$10*Annahmen!$B$12)</f>
        <v>3880</v>
      </c>
    </row>
    <row r="29" spans="1:3" ht="13" x14ac:dyDescent="0.25">
      <c r="A29" s="4" t="s">
        <v>138</v>
      </c>
      <c r="B29" s="19">
        <f>IF(OR(B28="",B25=""),"",IF(B25&lt;=0,"keine",B28/B25))</f>
        <v>6.9274292604251757</v>
      </c>
      <c r="C29" s="19">
        <f>IF(OR(C28="",C25=""),"",IF(C25&lt;=0,"keine",C28/C25))</f>
        <v>5.0690748723052996</v>
      </c>
    </row>
    <row r="31" spans="1:3" ht="38" customHeight="1" x14ac:dyDescent="0.25">
      <c r="A31" s="5" t="s">
        <v>139</v>
      </c>
    </row>
  </sheetData>
  <pageMargins left="0.5" right="0.5" top="0.6" bottom="0.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Anleitung</vt:lpstr>
      <vt:lpstr>Annahmen</vt:lpstr>
      <vt:lpstr>Stoppuhr</vt:lpstr>
      <vt:lpstr>Gegenüberstellung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Absolut Admin</cp:lastModifiedBy>
  <dcterms:created xsi:type="dcterms:W3CDTF">2026-10-26T09:07:54Z</dcterms:created>
  <dcterms:modified xsi:type="dcterms:W3CDTF">2026-10-27T09:44:45Z</dcterms:modified>
</cp:coreProperties>
</file>